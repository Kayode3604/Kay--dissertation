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026952o\Documents\"/>
    </mc:Choice>
  </mc:AlternateContent>
  <xr:revisionPtr revIDLastSave="0" documentId="8_{C6D4A9EA-629D-4F91-9528-C34AA1D531CA}" xr6:coauthVersionLast="47" xr6:coauthVersionMax="47" xr10:uidLastSave="{00000000-0000-0000-0000-000000000000}"/>
  <bookViews>
    <workbookView xWindow="-120" yWindow="-120" windowWidth="29040" windowHeight="15720" firstSheet="2" activeTab="2" xr2:uid="{3C3F993E-38C7-4E2A-8808-CA3465A5F6AA}"/>
  </bookViews>
  <sheets>
    <sheet name="final_dataset_with_predictions" sheetId="1" state="hidden" r:id="rId1"/>
    <sheet name="model_data" sheetId="2" r:id="rId2"/>
    <sheet name="Dashboard" sheetId="6" r:id="rId3"/>
  </sheets>
  <definedNames>
    <definedName name="_xlnm._FilterDatabase" localSheetId="0" hidden="1">final_dataset_with_predictions!$A$1:$H$362</definedName>
    <definedName name="_xlnm._FilterDatabase" localSheetId="1" hidden="1">model_data!$A$26:$B$32</definedName>
    <definedName name="Avg_Actual_Yield">#REF!</definedName>
    <definedName name="Avg_Predicted_Yield">#REF!</definedName>
    <definedName name="Max_Acual_Yield">#REF!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</calcChain>
</file>

<file path=xl/sharedStrings.xml><?xml version="1.0" encoding="utf-8"?>
<sst xmlns="http://schemas.openxmlformats.org/spreadsheetml/2006/main" count="428" uniqueCount="76">
  <si>
    <t>year</t>
  </si>
  <si>
    <t>fertilizer_code</t>
  </si>
  <si>
    <t>dry_matter</t>
  </si>
  <si>
    <t>temperature</t>
  </si>
  <si>
    <t>precipitation</t>
  </si>
  <si>
    <t>solar_radiation</t>
  </si>
  <si>
    <t>predicted_yield</t>
  </si>
  <si>
    <t xml:space="preserve"> Actual Yield </t>
  </si>
  <si>
    <t>N4PKMg</t>
  </si>
  <si>
    <t>N2PKMg</t>
  </si>
  <si>
    <t>N2PKMg*</t>
  </si>
  <si>
    <t>N6PKMg</t>
  </si>
  <si>
    <t>N3PKMg</t>
  </si>
  <si>
    <t>N2PK</t>
  </si>
  <si>
    <t>FYM</t>
  </si>
  <si>
    <t>FYM N4 PK</t>
  </si>
  <si>
    <t>N1+3 1/2[PKMg]</t>
  </si>
  <si>
    <t>N0+3 1/2[PKMg]</t>
  </si>
  <si>
    <t>N1PKMg</t>
  </si>
  <si>
    <t>FYM N2</t>
  </si>
  <si>
    <t>N2PNa*</t>
  </si>
  <si>
    <t>N5PKMg</t>
  </si>
  <si>
    <t>N2P</t>
  </si>
  <si>
    <t xml:space="preserve">(C) </t>
  </si>
  <si>
    <t>N2</t>
  </si>
  <si>
    <t>Nil</t>
  </si>
  <si>
    <t>PKMg</t>
  </si>
  <si>
    <t xml:space="preserve">(FYM) N4 </t>
  </si>
  <si>
    <t>(P)KMg</t>
  </si>
  <si>
    <t>N1(P)KMg</t>
  </si>
  <si>
    <t>N2(P)KMg</t>
  </si>
  <si>
    <t>N3(P)KMg</t>
  </si>
  <si>
    <t>N4(P)KMg</t>
  </si>
  <si>
    <t>N4</t>
  </si>
  <si>
    <t>N4PMg</t>
  </si>
  <si>
    <t>N1+3+1(P)K2Mg2</t>
  </si>
  <si>
    <t>N4PK</t>
  </si>
  <si>
    <t>N4PK*(Mg*)</t>
  </si>
  <si>
    <t>N5(P)KMg</t>
  </si>
  <si>
    <t>N6(P)KMg</t>
  </si>
  <si>
    <t>N1+4+1 PKMg</t>
  </si>
  <si>
    <t>N1+2+1 PKMg</t>
  </si>
  <si>
    <t>N1+1+1 KMg</t>
  </si>
  <si>
    <t>FYM N3</t>
  </si>
  <si>
    <t>N1+3+1(P)KMg</t>
  </si>
  <si>
    <t>Model</t>
  </si>
  <si>
    <r>
      <t>R</t>
    </r>
    <r>
      <rPr>
        <vertAlign val="superscript"/>
        <sz val="11"/>
        <color theme="0"/>
        <rFont val="Aptos Narrow"/>
        <family val="2"/>
        <scheme val="minor"/>
      </rPr>
      <t>2</t>
    </r>
  </si>
  <si>
    <t>Root Mean Square Error</t>
  </si>
  <si>
    <t>Feature</t>
  </si>
  <si>
    <t>Importance</t>
  </si>
  <si>
    <t>Avg Actual Yield</t>
  </si>
  <si>
    <t>Max Actual Yield</t>
  </si>
  <si>
    <t>Avg Predicted Yield</t>
  </si>
  <si>
    <t>Avg_Predicted Yield</t>
  </si>
  <si>
    <t>SVR</t>
  </si>
  <si>
    <t>fertilizer_code_N1_P_KMg</t>
  </si>
  <si>
    <t>Random Forest</t>
  </si>
  <si>
    <t>fertilizer_code_FYM_N3</t>
  </si>
  <si>
    <t>Linear Regression</t>
  </si>
  <si>
    <t>fertilizer_code_N1_1_1_KMg</t>
  </si>
  <si>
    <t>XGBoost</t>
  </si>
  <si>
    <t>fertilizer_code_N4</t>
  </si>
  <si>
    <t>fertilizer_code__P_KMg</t>
  </si>
  <si>
    <t>Contribution</t>
  </si>
  <si>
    <t>fertilizer_code_Nil</t>
  </si>
  <si>
    <t>fertilizer_code_FYM_N3 &lt;= 0.00</t>
  </si>
  <si>
    <t>precipitation &lt;= 396.50</t>
  </si>
  <si>
    <t>fertilizer_code_N4PMg &lt;= 0.00</t>
  </si>
  <si>
    <t>fertilizer_code_N4 &lt;= 0.00</t>
  </si>
  <si>
    <t>fertilizer_code_Nil &lt;= 0.00</t>
  </si>
  <si>
    <t>fertilizer_code__P_KMg &lt;= 0.00</t>
  </si>
  <si>
    <t>Fertilizer Code</t>
  </si>
  <si>
    <t>Actual Yield</t>
  </si>
  <si>
    <t>fertilizer_code__P_KMg &gt; 0.00</t>
  </si>
  <si>
    <t>dry_matter &lt;= 22.80</t>
  </si>
  <si>
    <t>dry_matter &gt; 28.73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</si>
</sst>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vertAlign val="superscript"/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1F4E7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" fontId="0" fillId="0" borderId="0" xfId="0" applyNumberFormat="1"/>
    <xf numFmtId="164" fontId="18" fillId="33" borderId="10" xfId="0" applyNumberFormat="1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center"/>
    </xf>
    <xf numFmtId="164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 vertical="center"/>
    </xf>
    <xf numFmtId="2" fontId="18" fillId="33" borderId="10" xfId="0" applyNumberFormat="1" applyFont="1" applyFill="1" applyBorder="1" applyAlignment="1">
      <alignment horizontal="right"/>
    </xf>
    <xf numFmtId="2" fontId="18" fillId="34" borderId="10" xfId="0" applyNumberFormat="1" applyFont="1" applyFill="1" applyBorder="1" applyAlignment="1">
      <alignment horizontal="right"/>
    </xf>
    <xf numFmtId="0" fontId="20" fillId="35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sz val="10"/>
        <color auto="1"/>
        <name val="Arial"/>
        <scheme val="none"/>
      </font>
      <fill>
        <patternFill patternType="solid">
          <fgColor rgb="FFFFFFFF"/>
        </patternFill>
      </fill>
    </dxf>
    <dxf>
      <font>
        <sz val="10"/>
        <color auto="1"/>
        <name val="Arial"/>
        <scheme val="none"/>
      </font>
      <fill>
        <patternFill patternType="solid">
          <fgColor rgb="FFFFFFFF"/>
        </patternFill>
      </fill>
    </dxf>
    <dxf>
      <font>
        <b/>
        <color rgb="FFFFFFFF"/>
        <name val="Arial"/>
        <scheme val="none"/>
      </font>
      <fill>
        <patternFill patternType="solid">
          <fgColor rgb="FF1F4E79"/>
        </patternFill>
      </fill>
      <alignment horizontal="center" vertical="center"/>
    </dxf>
    <dxf>
      <font>
        <b/>
        <color rgb="FFFFFFFF"/>
        <name val="Arial"/>
        <scheme val="none"/>
      </font>
      <fill>
        <patternFill patternType="solid">
          <fgColor rgb="FF1F4E79"/>
        </patternFill>
      </fill>
      <alignment horizontal="center" vertical="center"/>
    </dxf>
    <dxf>
      <font>
        <b/>
        <color rgb="FFFFFFFF"/>
        <name val="Arial"/>
        <scheme val="none"/>
      </font>
      <fill>
        <patternFill patternType="solid">
          <fgColor rgb="FF1F4E79"/>
        </patternFill>
      </fill>
      <alignment horizontal="center" vertical="center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EAE9E4"/>
      <color rgb="FFFFFFFF"/>
      <color rgb="FF7D99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49130299390544"/>
          <c:y val="7.6071922544951584E-2"/>
          <c:w val="0.77475421504515329"/>
          <c:h val="0.70237418455473144"/>
        </c:manualLayout>
      </c:layout>
      <c:scatterChart>
        <c:scatterStyle val="lineMarker"/>
        <c:varyColors val="0"/>
        <c:ser>
          <c:idx val="0"/>
          <c:order val="0"/>
          <c:tx>
            <c:strRef>
              <c:f>final_dataset_with_predictions!$G$1</c:f>
              <c:strCache>
                <c:ptCount val="1"/>
                <c:pt idx="0">
                  <c:v>predicted_yield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final_dataset_with_predictions!$H$2:$H$362</c:f>
              <c:numCache>
                <c:formatCode>General</c:formatCode>
                <c:ptCount val="361"/>
                <c:pt idx="0">
                  <c:v>18.5</c:v>
                </c:pt>
                <c:pt idx="1">
                  <c:v>14.86</c:v>
                </c:pt>
                <c:pt idx="2">
                  <c:v>14.97</c:v>
                </c:pt>
                <c:pt idx="3">
                  <c:v>18.72</c:v>
                </c:pt>
                <c:pt idx="4">
                  <c:v>18.62</c:v>
                </c:pt>
                <c:pt idx="5">
                  <c:v>15.52</c:v>
                </c:pt>
                <c:pt idx="6">
                  <c:v>17.53</c:v>
                </c:pt>
                <c:pt idx="7">
                  <c:v>16.36</c:v>
                </c:pt>
                <c:pt idx="8">
                  <c:v>16.350000000000001</c:v>
                </c:pt>
                <c:pt idx="9">
                  <c:v>15.81</c:v>
                </c:pt>
                <c:pt idx="10">
                  <c:v>11.85</c:v>
                </c:pt>
                <c:pt idx="11">
                  <c:v>17.45</c:v>
                </c:pt>
                <c:pt idx="12">
                  <c:v>8.73</c:v>
                </c:pt>
                <c:pt idx="13">
                  <c:v>15.85</c:v>
                </c:pt>
                <c:pt idx="14">
                  <c:v>6.46</c:v>
                </c:pt>
                <c:pt idx="15">
                  <c:v>5.44</c:v>
                </c:pt>
                <c:pt idx="16">
                  <c:v>5.77</c:v>
                </c:pt>
                <c:pt idx="17">
                  <c:v>3.64</c:v>
                </c:pt>
                <c:pt idx="18">
                  <c:v>4.8</c:v>
                </c:pt>
                <c:pt idx="19">
                  <c:v>15.38</c:v>
                </c:pt>
                <c:pt idx="20">
                  <c:v>17.79</c:v>
                </c:pt>
                <c:pt idx="21">
                  <c:v>14.91</c:v>
                </c:pt>
                <c:pt idx="22">
                  <c:v>3.08</c:v>
                </c:pt>
                <c:pt idx="23">
                  <c:v>4.29</c:v>
                </c:pt>
                <c:pt idx="24">
                  <c:v>9.52</c:v>
                </c:pt>
                <c:pt idx="25">
                  <c:v>13.53</c:v>
                </c:pt>
                <c:pt idx="26">
                  <c:v>11.83</c:v>
                </c:pt>
                <c:pt idx="27">
                  <c:v>13.31</c:v>
                </c:pt>
                <c:pt idx="28">
                  <c:v>7.22</c:v>
                </c:pt>
                <c:pt idx="29">
                  <c:v>3.86</c:v>
                </c:pt>
                <c:pt idx="30">
                  <c:v>6.27</c:v>
                </c:pt>
                <c:pt idx="31">
                  <c:v>10.46</c:v>
                </c:pt>
                <c:pt idx="32">
                  <c:v>8.2200000000000006</c:v>
                </c:pt>
                <c:pt idx="33">
                  <c:v>11.02</c:v>
                </c:pt>
                <c:pt idx="34">
                  <c:v>11.13</c:v>
                </c:pt>
                <c:pt idx="35">
                  <c:v>11.28</c:v>
                </c:pt>
                <c:pt idx="36">
                  <c:v>11.08</c:v>
                </c:pt>
                <c:pt idx="37">
                  <c:v>2.68</c:v>
                </c:pt>
                <c:pt idx="38">
                  <c:v>20.149999999999999</c:v>
                </c:pt>
                <c:pt idx="39">
                  <c:v>17.07</c:v>
                </c:pt>
                <c:pt idx="40">
                  <c:v>14.73</c:v>
                </c:pt>
                <c:pt idx="41">
                  <c:v>2.79</c:v>
                </c:pt>
                <c:pt idx="42">
                  <c:v>1.94</c:v>
                </c:pt>
                <c:pt idx="43">
                  <c:v>5.65</c:v>
                </c:pt>
                <c:pt idx="44">
                  <c:v>11.62</c:v>
                </c:pt>
                <c:pt idx="45">
                  <c:v>14.83</c:v>
                </c:pt>
                <c:pt idx="46">
                  <c:v>16.809999999999999</c:v>
                </c:pt>
                <c:pt idx="47">
                  <c:v>7.63</c:v>
                </c:pt>
                <c:pt idx="48">
                  <c:v>7.25</c:v>
                </c:pt>
                <c:pt idx="49">
                  <c:v>7.85</c:v>
                </c:pt>
                <c:pt idx="50">
                  <c:v>9.57</c:v>
                </c:pt>
                <c:pt idx="51">
                  <c:v>9.98</c:v>
                </c:pt>
                <c:pt idx="52">
                  <c:v>16.3</c:v>
                </c:pt>
                <c:pt idx="53">
                  <c:v>14.28</c:v>
                </c:pt>
                <c:pt idx="54">
                  <c:v>15.2</c:v>
                </c:pt>
                <c:pt idx="55">
                  <c:v>15.68</c:v>
                </c:pt>
                <c:pt idx="56">
                  <c:v>3.1</c:v>
                </c:pt>
                <c:pt idx="57">
                  <c:v>12.8</c:v>
                </c:pt>
                <c:pt idx="58">
                  <c:v>10.34</c:v>
                </c:pt>
                <c:pt idx="59">
                  <c:v>9.6999999999999993</c:v>
                </c:pt>
                <c:pt idx="60">
                  <c:v>1.98</c:v>
                </c:pt>
                <c:pt idx="61">
                  <c:v>2.4</c:v>
                </c:pt>
                <c:pt idx="62">
                  <c:v>6.05</c:v>
                </c:pt>
                <c:pt idx="63">
                  <c:v>9.5500000000000007</c:v>
                </c:pt>
                <c:pt idx="64">
                  <c:v>10.78</c:v>
                </c:pt>
                <c:pt idx="65">
                  <c:v>10.77</c:v>
                </c:pt>
                <c:pt idx="66">
                  <c:v>3.99</c:v>
                </c:pt>
                <c:pt idx="67">
                  <c:v>5.83</c:v>
                </c:pt>
                <c:pt idx="68">
                  <c:v>6.34</c:v>
                </c:pt>
                <c:pt idx="69">
                  <c:v>9.27</c:v>
                </c:pt>
                <c:pt idx="70">
                  <c:v>10.63</c:v>
                </c:pt>
                <c:pt idx="71">
                  <c:v>11.77</c:v>
                </c:pt>
                <c:pt idx="72">
                  <c:v>13.75</c:v>
                </c:pt>
                <c:pt idx="73">
                  <c:v>10.89</c:v>
                </c:pt>
                <c:pt idx="74">
                  <c:v>10.6</c:v>
                </c:pt>
                <c:pt idx="75">
                  <c:v>2.97</c:v>
                </c:pt>
                <c:pt idx="76">
                  <c:v>13.67</c:v>
                </c:pt>
                <c:pt idx="77">
                  <c:v>13.54</c:v>
                </c:pt>
                <c:pt idx="78">
                  <c:v>9.43</c:v>
                </c:pt>
                <c:pt idx="79">
                  <c:v>2.29</c:v>
                </c:pt>
                <c:pt idx="80">
                  <c:v>1.71</c:v>
                </c:pt>
                <c:pt idx="81">
                  <c:v>7.57</c:v>
                </c:pt>
                <c:pt idx="82">
                  <c:v>11.8</c:v>
                </c:pt>
                <c:pt idx="83">
                  <c:v>10.27</c:v>
                </c:pt>
                <c:pt idx="84">
                  <c:v>7.96</c:v>
                </c:pt>
                <c:pt idx="85">
                  <c:v>2.73</c:v>
                </c:pt>
                <c:pt idx="86">
                  <c:v>4.1100000000000003</c:v>
                </c:pt>
                <c:pt idx="87">
                  <c:v>6.8</c:v>
                </c:pt>
                <c:pt idx="88">
                  <c:v>6.77</c:v>
                </c:pt>
                <c:pt idx="89">
                  <c:v>8.84</c:v>
                </c:pt>
                <c:pt idx="90">
                  <c:v>6.43</c:v>
                </c:pt>
                <c:pt idx="91">
                  <c:v>7.76</c:v>
                </c:pt>
                <c:pt idx="92">
                  <c:v>6.45</c:v>
                </c:pt>
                <c:pt idx="93">
                  <c:v>7.42</c:v>
                </c:pt>
                <c:pt idx="94">
                  <c:v>5.2</c:v>
                </c:pt>
                <c:pt idx="95">
                  <c:v>10.65</c:v>
                </c:pt>
                <c:pt idx="96">
                  <c:v>7.68</c:v>
                </c:pt>
                <c:pt idx="97">
                  <c:v>8.41</c:v>
                </c:pt>
                <c:pt idx="98">
                  <c:v>2.5299999999999998</c:v>
                </c:pt>
                <c:pt idx="99">
                  <c:v>1.94</c:v>
                </c:pt>
                <c:pt idx="100">
                  <c:v>8.82</c:v>
                </c:pt>
                <c:pt idx="101">
                  <c:v>10.7</c:v>
                </c:pt>
                <c:pt idx="102">
                  <c:v>12.41</c:v>
                </c:pt>
                <c:pt idx="103">
                  <c:v>13.6</c:v>
                </c:pt>
                <c:pt idx="104">
                  <c:v>0.67</c:v>
                </c:pt>
                <c:pt idx="105">
                  <c:v>4.5999999999999996</c:v>
                </c:pt>
                <c:pt idx="106">
                  <c:v>12.05</c:v>
                </c:pt>
                <c:pt idx="107">
                  <c:v>12.37</c:v>
                </c:pt>
                <c:pt idx="108">
                  <c:v>13.45</c:v>
                </c:pt>
                <c:pt idx="109">
                  <c:v>12.77</c:v>
                </c:pt>
                <c:pt idx="110">
                  <c:v>12.73</c:v>
                </c:pt>
                <c:pt idx="111">
                  <c:v>11.94</c:v>
                </c:pt>
                <c:pt idx="112">
                  <c:v>11.23</c:v>
                </c:pt>
                <c:pt idx="113">
                  <c:v>6.16</c:v>
                </c:pt>
                <c:pt idx="114">
                  <c:v>8.57</c:v>
                </c:pt>
                <c:pt idx="115">
                  <c:v>10.62</c:v>
                </c:pt>
                <c:pt idx="116">
                  <c:v>9.9700000000000006</c:v>
                </c:pt>
                <c:pt idx="117">
                  <c:v>2.1</c:v>
                </c:pt>
                <c:pt idx="118">
                  <c:v>3.85</c:v>
                </c:pt>
                <c:pt idx="119">
                  <c:v>6.49</c:v>
                </c:pt>
                <c:pt idx="120">
                  <c:v>7.27</c:v>
                </c:pt>
                <c:pt idx="121">
                  <c:v>7.32</c:v>
                </c:pt>
                <c:pt idx="122">
                  <c:v>9.07</c:v>
                </c:pt>
                <c:pt idx="123">
                  <c:v>1.88</c:v>
                </c:pt>
                <c:pt idx="124">
                  <c:v>4.87</c:v>
                </c:pt>
                <c:pt idx="125">
                  <c:v>7.92</c:v>
                </c:pt>
                <c:pt idx="126">
                  <c:v>8.43</c:v>
                </c:pt>
                <c:pt idx="127">
                  <c:v>8.35</c:v>
                </c:pt>
                <c:pt idx="128">
                  <c:v>8.23</c:v>
                </c:pt>
                <c:pt idx="129">
                  <c:v>8.56</c:v>
                </c:pt>
                <c:pt idx="130">
                  <c:v>7.57</c:v>
                </c:pt>
                <c:pt idx="131">
                  <c:v>7.36</c:v>
                </c:pt>
                <c:pt idx="132">
                  <c:v>7.07</c:v>
                </c:pt>
                <c:pt idx="133">
                  <c:v>23.13</c:v>
                </c:pt>
                <c:pt idx="134">
                  <c:v>17.55</c:v>
                </c:pt>
                <c:pt idx="135">
                  <c:v>16.78</c:v>
                </c:pt>
                <c:pt idx="136">
                  <c:v>1.56</c:v>
                </c:pt>
                <c:pt idx="137">
                  <c:v>0.97</c:v>
                </c:pt>
                <c:pt idx="138">
                  <c:v>3.27</c:v>
                </c:pt>
                <c:pt idx="139">
                  <c:v>11.97</c:v>
                </c:pt>
                <c:pt idx="140">
                  <c:v>15.13</c:v>
                </c:pt>
                <c:pt idx="141">
                  <c:v>16.12</c:v>
                </c:pt>
                <c:pt idx="142">
                  <c:v>5.33</c:v>
                </c:pt>
                <c:pt idx="143">
                  <c:v>9.31</c:v>
                </c:pt>
                <c:pt idx="144">
                  <c:v>13.67</c:v>
                </c:pt>
                <c:pt idx="145">
                  <c:v>13.65</c:v>
                </c:pt>
                <c:pt idx="146">
                  <c:v>13.77</c:v>
                </c:pt>
                <c:pt idx="147">
                  <c:v>13.67</c:v>
                </c:pt>
                <c:pt idx="148">
                  <c:v>13.6</c:v>
                </c:pt>
                <c:pt idx="149">
                  <c:v>13.01</c:v>
                </c:pt>
                <c:pt idx="150">
                  <c:v>16.89</c:v>
                </c:pt>
                <c:pt idx="151">
                  <c:v>5.86</c:v>
                </c:pt>
                <c:pt idx="152">
                  <c:v>20.09</c:v>
                </c:pt>
                <c:pt idx="153">
                  <c:v>22.26</c:v>
                </c:pt>
                <c:pt idx="154">
                  <c:v>14.02</c:v>
                </c:pt>
                <c:pt idx="155">
                  <c:v>2.65</c:v>
                </c:pt>
                <c:pt idx="156">
                  <c:v>3.21</c:v>
                </c:pt>
                <c:pt idx="157">
                  <c:v>9.8800000000000008</c:v>
                </c:pt>
                <c:pt idx="158">
                  <c:v>13.17</c:v>
                </c:pt>
                <c:pt idx="159">
                  <c:v>14.85</c:v>
                </c:pt>
                <c:pt idx="160">
                  <c:v>12.2</c:v>
                </c:pt>
                <c:pt idx="161">
                  <c:v>4.0599999999999996</c:v>
                </c:pt>
                <c:pt idx="162">
                  <c:v>11.51</c:v>
                </c:pt>
                <c:pt idx="163">
                  <c:v>16.170000000000002</c:v>
                </c:pt>
                <c:pt idx="164">
                  <c:v>13.71</c:v>
                </c:pt>
                <c:pt idx="165">
                  <c:v>17.68</c:v>
                </c:pt>
                <c:pt idx="166">
                  <c:v>14.18</c:v>
                </c:pt>
                <c:pt idx="167">
                  <c:v>15.01</c:v>
                </c:pt>
                <c:pt idx="168">
                  <c:v>14.61</c:v>
                </c:pt>
                <c:pt idx="169">
                  <c:v>15.69</c:v>
                </c:pt>
                <c:pt idx="170">
                  <c:v>7.9</c:v>
                </c:pt>
                <c:pt idx="171">
                  <c:v>13.03</c:v>
                </c:pt>
                <c:pt idx="172">
                  <c:v>17.14</c:v>
                </c:pt>
                <c:pt idx="173">
                  <c:v>11.8</c:v>
                </c:pt>
                <c:pt idx="174">
                  <c:v>4.25</c:v>
                </c:pt>
                <c:pt idx="175">
                  <c:v>2.36</c:v>
                </c:pt>
                <c:pt idx="176">
                  <c:v>6.55</c:v>
                </c:pt>
                <c:pt idx="177">
                  <c:v>9.98</c:v>
                </c:pt>
                <c:pt idx="178">
                  <c:v>11.23</c:v>
                </c:pt>
                <c:pt idx="179">
                  <c:v>10.92</c:v>
                </c:pt>
                <c:pt idx="180">
                  <c:v>3.9</c:v>
                </c:pt>
                <c:pt idx="181">
                  <c:v>3.1</c:v>
                </c:pt>
                <c:pt idx="182">
                  <c:v>7.33</c:v>
                </c:pt>
                <c:pt idx="183">
                  <c:v>7.69</c:v>
                </c:pt>
                <c:pt idx="184">
                  <c:v>7.6</c:v>
                </c:pt>
                <c:pt idx="185">
                  <c:v>8.23</c:v>
                </c:pt>
                <c:pt idx="186">
                  <c:v>9.74</c:v>
                </c:pt>
                <c:pt idx="187">
                  <c:v>9.27</c:v>
                </c:pt>
                <c:pt idx="188">
                  <c:v>10.52</c:v>
                </c:pt>
                <c:pt idx="189">
                  <c:v>7.75</c:v>
                </c:pt>
                <c:pt idx="190">
                  <c:v>13.6</c:v>
                </c:pt>
                <c:pt idx="191">
                  <c:v>16.559999999999999</c:v>
                </c:pt>
                <c:pt idx="192">
                  <c:v>11.71</c:v>
                </c:pt>
                <c:pt idx="193">
                  <c:v>3.03</c:v>
                </c:pt>
                <c:pt idx="194">
                  <c:v>3.98</c:v>
                </c:pt>
                <c:pt idx="195">
                  <c:v>6.1</c:v>
                </c:pt>
                <c:pt idx="196">
                  <c:v>8.93</c:v>
                </c:pt>
                <c:pt idx="197">
                  <c:v>9.2799999999999994</c:v>
                </c:pt>
                <c:pt idx="198">
                  <c:v>9.99</c:v>
                </c:pt>
                <c:pt idx="199">
                  <c:v>2.31</c:v>
                </c:pt>
                <c:pt idx="200">
                  <c:v>5.64</c:v>
                </c:pt>
                <c:pt idx="201">
                  <c:v>10.07</c:v>
                </c:pt>
                <c:pt idx="202">
                  <c:v>8.8699999999999992</c:v>
                </c:pt>
                <c:pt idx="203">
                  <c:v>9.66</c:v>
                </c:pt>
                <c:pt idx="204">
                  <c:v>9.84</c:v>
                </c:pt>
                <c:pt idx="205">
                  <c:v>9.57</c:v>
                </c:pt>
                <c:pt idx="206">
                  <c:v>9.0500000000000007</c:v>
                </c:pt>
                <c:pt idx="207">
                  <c:v>9.5</c:v>
                </c:pt>
                <c:pt idx="208">
                  <c:v>5.86</c:v>
                </c:pt>
                <c:pt idx="209">
                  <c:v>11.81</c:v>
                </c:pt>
                <c:pt idx="210">
                  <c:v>13.84</c:v>
                </c:pt>
                <c:pt idx="211">
                  <c:v>12.37</c:v>
                </c:pt>
                <c:pt idx="212">
                  <c:v>0.57999999999999996</c:v>
                </c:pt>
                <c:pt idx="213">
                  <c:v>5.2</c:v>
                </c:pt>
                <c:pt idx="214">
                  <c:v>7.12</c:v>
                </c:pt>
                <c:pt idx="215">
                  <c:v>8.51</c:v>
                </c:pt>
                <c:pt idx="216">
                  <c:v>8.25</c:v>
                </c:pt>
                <c:pt idx="217">
                  <c:v>8.34</c:v>
                </c:pt>
                <c:pt idx="218">
                  <c:v>0.94</c:v>
                </c:pt>
                <c:pt idx="219">
                  <c:v>5.19</c:v>
                </c:pt>
                <c:pt idx="220">
                  <c:v>8.56</c:v>
                </c:pt>
                <c:pt idx="221">
                  <c:v>8.89</c:v>
                </c:pt>
                <c:pt idx="222">
                  <c:v>8.76</c:v>
                </c:pt>
                <c:pt idx="223">
                  <c:v>7.82</c:v>
                </c:pt>
                <c:pt idx="224">
                  <c:v>7.4</c:v>
                </c:pt>
                <c:pt idx="225">
                  <c:v>8.18</c:v>
                </c:pt>
                <c:pt idx="226">
                  <c:v>8.4499999999999993</c:v>
                </c:pt>
                <c:pt idx="227">
                  <c:v>3.49</c:v>
                </c:pt>
                <c:pt idx="228">
                  <c:v>8.67</c:v>
                </c:pt>
                <c:pt idx="229">
                  <c:v>9.26</c:v>
                </c:pt>
                <c:pt idx="230">
                  <c:v>11.95</c:v>
                </c:pt>
                <c:pt idx="231">
                  <c:v>1.49</c:v>
                </c:pt>
                <c:pt idx="232">
                  <c:v>2.86</c:v>
                </c:pt>
                <c:pt idx="233">
                  <c:v>5.05</c:v>
                </c:pt>
                <c:pt idx="234">
                  <c:v>7.9</c:v>
                </c:pt>
                <c:pt idx="235">
                  <c:v>5.27</c:v>
                </c:pt>
                <c:pt idx="236">
                  <c:v>5.83</c:v>
                </c:pt>
                <c:pt idx="237">
                  <c:v>1.0900000000000001</c:v>
                </c:pt>
                <c:pt idx="238">
                  <c:v>3.88</c:v>
                </c:pt>
                <c:pt idx="239">
                  <c:v>7.32</c:v>
                </c:pt>
                <c:pt idx="240">
                  <c:v>7.2</c:v>
                </c:pt>
                <c:pt idx="241">
                  <c:v>7.01</c:v>
                </c:pt>
                <c:pt idx="242">
                  <c:v>5.63</c:v>
                </c:pt>
                <c:pt idx="243">
                  <c:v>4.33</c:v>
                </c:pt>
                <c:pt idx="244">
                  <c:v>5.19</c:v>
                </c:pt>
                <c:pt idx="245">
                  <c:v>5.88</c:v>
                </c:pt>
                <c:pt idx="246">
                  <c:v>2.56</c:v>
                </c:pt>
                <c:pt idx="247">
                  <c:v>14.32</c:v>
                </c:pt>
                <c:pt idx="248">
                  <c:v>18.239999999999998</c:v>
                </c:pt>
                <c:pt idx="249">
                  <c:v>11.21</c:v>
                </c:pt>
                <c:pt idx="250">
                  <c:v>1.65</c:v>
                </c:pt>
                <c:pt idx="251">
                  <c:v>3.56</c:v>
                </c:pt>
                <c:pt idx="252">
                  <c:v>5.75</c:v>
                </c:pt>
                <c:pt idx="253">
                  <c:v>8.85</c:v>
                </c:pt>
                <c:pt idx="254">
                  <c:v>10.85</c:v>
                </c:pt>
                <c:pt idx="255">
                  <c:v>10.16</c:v>
                </c:pt>
                <c:pt idx="256">
                  <c:v>0.96</c:v>
                </c:pt>
                <c:pt idx="257">
                  <c:v>5.44</c:v>
                </c:pt>
                <c:pt idx="258">
                  <c:v>9.33</c:v>
                </c:pt>
                <c:pt idx="259">
                  <c:v>10.72</c:v>
                </c:pt>
                <c:pt idx="260">
                  <c:v>9.82</c:v>
                </c:pt>
                <c:pt idx="261">
                  <c:v>9.94</c:v>
                </c:pt>
                <c:pt idx="262">
                  <c:v>9.1300000000000008</c:v>
                </c:pt>
                <c:pt idx="263">
                  <c:v>9.1300000000000008</c:v>
                </c:pt>
                <c:pt idx="264">
                  <c:v>11.46</c:v>
                </c:pt>
                <c:pt idx="265">
                  <c:v>5.43</c:v>
                </c:pt>
                <c:pt idx="266">
                  <c:v>3.51</c:v>
                </c:pt>
                <c:pt idx="267">
                  <c:v>6.65</c:v>
                </c:pt>
                <c:pt idx="268">
                  <c:v>8.75</c:v>
                </c:pt>
                <c:pt idx="269">
                  <c:v>1.34</c:v>
                </c:pt>
                <c:pt idx="270">
                  <c:v>3.32</c:v>
                </c:pt>
                <c:pt idx="271">
                  <c:v>5.9</c:v>
                </c:pt>
                <c:pt idx="272">
                  <c:v>4.4800000000000004</c:v>
                </c:pt>
                <c:pt idx="273">
                  <c:v>6.14</c:v>
                </c:pt>
                <c:pt idx="274">
                  <c:v>4.5199999999999996</c:v>
                </c:pt>
                <c:pt idx="275">
                  <c:v>2.0699999999999998</c:v>
                </c:pt>
                <c:pt idx="276">
                  <c:v>4.3600000000000003</c:v>
                </c:pt>
                <c:pt idx="277">
                  <c:v>6.52</c:v>
                </c:pt>
                <c:pt idx="278">
                  <c:v>8.8000000000000007</c:v>
                </c:pt>
                <c:pt idx="279">
                  <c:v>9.52</c:v>
                </c:pt>
                <c:pt idx="280">
                  <c:v>7.03</c:v>
                </c:pt>
                <c:pt idx="281">
                  <c:v>6.57</c:v>
                </c:pt>
                <c:pt idx="282">
                  <c:v>3.46</c:v>
                </c:pt>
                <c:pt idx="283">
                  <c:v>5.95</c:v>
                </c:pt>
                <c:pt idx="284">
                  <c:v>3.1</c:v>
                </c:pt>
                <c:pt idx="285">
                  <c:v>13.3</c:v>
                </c:pt>
                <c:pt idx="286">
                  <c:v>15.46</c:v>
                </c:pt>
                <c:pt idx="287">
                  <c:v>15.87</c:v>
                </c:pt>
                <c:pt idx="288">
                  <c:v>1.45</c:v>
                </c:pt>
                <c:pt idx="289">
                  <c:v>4.25</c:v>
                </c:pt>
                <c:pt idx="290">
                  <c:v>7.77</c:v>
                </c:pt>
                <c:pt idx="291">
                  <c:v>9.8699999999999992</c:v>
                </c:pt>
                <c:pt idx="292">
                  <c:v>8.57</c:v>
                </c:pt>
                <c:pt idx="293">
                  <c:v>8.9600000000000009</c:v>
                </c:pt>
                <c:pt idx="294">
                  <c:v>2.79</c:v>
                </c:pt>
                <c:pt idx="295">
                  <c:v>4.3600000000000003</c:v>
                </c:pt>
                <c:pt idx="296">
                  <c:v>11.11</c:v>
                </c:pt>
                <c:pt idx="297">
                  <c:v>9.58</c:v>
                </c:pt>
                <c:pt idx="298">
                  <c:v>11.33</c:v>
                </c:pt>
                <c:pt idx="299">
                  <c:v>10.06</c:v>
                </c:pt>
                <c:pt idx="300">
                  <c:v>8.59</c:v>
                </c:pt>
                <c:pt idx="301">
                  <c:v>8.99</c:v>
                </c:pt>
                <c:pt idx="302">
                  <c:v>8.98</c:v>
                </c:pt>
                <c:pt idx="303">
                  <c:v>4.53</c:v>
                </c:pt>
                <c:pt idx="304">
                  <c:v>14.31</c:v>
                </c:pt>
                <c:pt idx="305">
                  <c:v>16.61</c:v>
                </c:pt>
                <c:pt idx="306">
                  <c:v>12.12</c:v>
                </c:pt>
                <c:pt idx="307">
                  <c:v>2.63</c:v>
                </c:pt>
                <c:pt idx="308">
                  <c:v>4.05</c:v>
                </c:pt>
                <c:pt idx="309">
                  <c:v>7.13</c:v>
                </c:pt>
                <c:pt idx="310">
                  <c:v>8.8800000000000008</c:v>
                </c:pt>
                <c:pt idx="311">
                  <c:v>10.85</c:v>
                </c:pt>
                <c:pt idx="312">
                  <c:v>10.119999999999999</c:v>
                </c:pt>
                <c:pt idx="313">
                  <c:v>2.83</c:v>
                </c:pt>
                <c:pt idx="314">
                  <c:v>7.71</c:v>
                </c:pt>
                <c:pt idx="315">
                  <c:v>14.64</c:v>
                </c:pt>
                <c:pt idx="316">
                  <c:v>15</c:v>
                </c:pt>
                <c:pt idx="317">
                  <c:v>14.47</c:v>
                </c:pt>
                <c:pt idx="318">
                  <c:v>13.15</c:v>
                </c:pt>
                <c:pt idx="319">
                  <c:v>14.18</c:v>
                </c:pt>
                <c:pt idx="320">
                  <c:v>12.35</c:v>
                </c:pt>
                <c:pt idx="321">
                  <c:v>11.94</c:v>
                </c:pt>
                <c:pt idx="322">
                  <c:v>5.0999999999999996</c:v>
                </c:pt>
                <c:pt idx="323">
                  <c:v>12.57</c:v>
                </c:pt>
                <c:pt idx="324">
                  <c:v>9.43</c:v>
                </c:pt>
                <c:pt idx="325">
                  <c:v>8.66</c:v>
                </c:pt>
                <c:pt idx="326">
                  <c:v>0.8</c:v>
                </c:pt>
                <c:pt idx="327">
                  <c:v>2.33</c:v>
                </c:pt>
                <c:pt idx="328">
                  <c:v>4.3600000000000003</c:v>
                </c:pt>
                <c:pt idx="329">
                  <c:v>4.95</c:v>
                </c:pt>
                <c:pt idx="330">
                  <c:v>5.47</c:v>
                </c:pt>
                <c:pt idx="331">
                  <c:v>5.4</c:v>
                </c:pt>
                <c:pt idx="332">
                  <c:v>3.8</c:v>
                </c:pt>
                <c:pt idx="333">
                  <c:v>3.15</c:v>
                </c:pt>
                <c:pt idx="334">
                  <c:v>5.74</c:v>
                </c:pt>
                <c:pt idx="335">
                  <c:v>6.82</c:v>
                </c:pt>
                <c:pt idx="336">
                  <c:v>7.29</c:v>
                </c:pt>
                <c:pt idx="337">
                  <c:v>5.77</c:v>
                </c:pt>
                <c:pt idx="338">
                  <c:v>6.02</c:v>
                </c:pt>
                <c:pt idx="339">
                  <c:v>4.92</c:v>
                </c:pt>
                <c:pt idx="340">
                  <c:v>7.89</c:v>
                </c:pt>
                <c:pt idx="341">
                  <c:v>4.68</c:v>
                </c:pt>
                <c:pt idx="342">
                  <c:v>11.02</c:v>
                </c:pt>
                <c:pt idx="343">
                  <c:v>14.4</c:v>
                </c:pt>
                <c:pt idx="344">
                  <c:v>17.829999999999998</c:v>
                </c:pt>
                <c:pt idx="345">
                  <c:v>1.95</c:v>
                </c:pt>
                <c:pt idx="346">
                  <c:v>5.01</c:v>
                </c:pt>
                <c:pt idx="347">
                  <c:v>8.6999999999999993</c:v>
                </c:pt>
                <c:pt idx="348">
                  <c:v>10.92</c:v>
                </c:pt>
                <c:pt idx="349">
                  <c:v>11.17</c:v>
                </c:pt>
                <c:pt idx="350">
                  <c:v>10.98</c:v>
                </c:pt>
                <c:pt idx="351">
                  <c:v>4.22</c:v>
                </c:pt>
                <c:pt idx="352">
                  <c:v>6.49</c:v>
                </c:pt>
                <c:pt idx="353">
                  <c:v>14.21</c:v>
                </c:pt>
                <c:pt idx="354">
                  <c:v>14.45</c:v>
                </c:pt>
                <c:pt idx="355">
                  <c:v>14.08</c:v>
                </c:pt>
                <c:pt idx="356">
                  <c:v>12.89</c:v>
                </c:pt>
                <c:pt idx="357">
                  <c:v>12.91</c:v>
                </c:pt>
                <c:pt idx="358">
                  <c:v>10.79</c:v>
                </c:pt>
                <c:pt idx="359">
                  <c:v>12.79</c:v>
                </c:pt>
                <c:pt idx="360">
                  <c:v>7.2</c:v>
                </c:pt>
              </c:numCache>
            </c:numRef>
          </c:xVal>
          <c:yVal>
            <c:numRef>
              <c:f>final_dataset_with_predictions!$G$2:$G$362</c:f>
              <c:numCache>
                <c:formatCode>General</c:formatCode>
                <c:ptCount val="361"/>
                <c:pt idx="0">
                  <c:v>18.393986000000002</c:v>
                </c:pt>
                <c:pt idx="1">
                  <c:v>14.986387000000001</c:v>
                </c:pt>
                <c:pt idx="2">
                  <c:v>14.9476385</c:v>
                </c:pt>
                <c:pt idx="3">
                  <c:v>17.177177</c:v>
                </c:pt>
                <c:pt idx="4">
                  <c:v>18.483519999999999</c:v>
                </c:pt>
                <c:pt idx="5">
                  <c:v>15.512702000000001</c:v>
                </c:pt>
                <c:pt idx="6">
                  <c:v>17.508182999999999</c:v>
                </c:pt>
                <c:pt idx="7">
                  <c:v>16.554327000000001</c:v>
                </c:pt>
                <c:pt idx="8">
                  <c:v>16.292158000000001</c:v>
                </c:pt>
                <c:pt idx="9">
                  <c:v>15.816012000000001</c:v>
                </c:pt>
                <c:pt idx="10">
                  <c:v>14.538385</c:v>
                </c:pt>
                <c:pt idx="11">
                  <c:v>17.436323000000002</c:v>
                </c:pt>
                <c:pt idx="12">
                  <c:v>8.7203269999999993</c:v>
                </c:pt>
                <c:pt idx="13">
                  <c:v>15.818585000000001</c:v>
                </c:pt>
                <c:pt idx="14">
                  <c:v>6.554405</c:v>
                </c:pt>
                <c:pt idx="15">
                  <c:v>5.3897360000000001</c:v>
                </c:pt>
                <c:pt idx="16">
                  <c:v>10.787226</c:v>
                </c:pt>
                <c:pt idx="17">
                  <c:v>7.7996939999999997</c:v>
                </c:pt>
                <c:pt idx="18">
                  <c:v>4.6954618000000004</c:v>
                </c:pt>
                <c:pt idx="19">
                  <c:v>15.350479999999999</c:v>
                </c:pt>
                <c:pt idx="20">
                  <c:v>17.560279999999999</c:v>
                </c:pt>
                <c:pt idx="21">
                  <c:v>15.080299</c:v>
                </c:pt>
                <c:pt idx="22">
                  <c:v>6.3376340000000004</c:v>
                </c:pt>
                <c:pt idx="23">
                  <c:v>4.4460616000000002</c:v>
                </c:pt>
                <c:pt idx="24">
                  <c:v>9.361834</c:v>
                </c:pt>
                <c:pt idx="25">
                  <c:v>14.549086000000001</c:v>
                </c:pt>
                <c:pt idx="26">
                  <c:v>11.847625000000001</c:v>
                </c:pt>
                <c:pt idx="27">
                  <c:v>13.278359999999999</c:v>
                </c:pt>
                <c:pt idx="28">
                  <c:v>7.3332670000000002</c:v>
                </c:pt>
                <c:pt idx="29">
                  <c:v>3.9229617000000001</c:v>
                </c:pt>
                <c:pt idx="30">
                  <c:v>7.5297010000000002</c:v>
                </c:pt>
                <c:pt idx="31">
                  <c:v>10.494635000000001</c:v>
                </c:pt>
                <c:pt idx="32">
                  <c:v>8.1670359999999995</c:v>
                </c:pt>
                <c:pt idx="33">
                  <c:v>11.007764</c:v>
                </c:pt>
                <c:pt idx="34">
                  <c:v>11.102650000000001</c:v>
                </c:pt>
                <c:pt idx="35">
                  <c:v>11.247313999999999</c:v>
                </c:pt>
                <c:pt idx="36">
                  <c:v>10.943838</c:v>
                </c:pt>
                <c:pt idx="37">
                  <c:v>2.871699</c:v>
                </c:pt>
                <c:pt idx="38">
                  <c:v>19.991330999999999</c:v>
                </c:pt>
                <c:pt idx="39">
                  <c:v>11.248562</c:v>
                </c:pt>
                <c:pt idx="40">
                  <c:v>14.644404</c:v>
                </c:pt>
                <c:pt idx="41">
                  <c:v>2.6302645</c:v>
                </c:pt>
                <c:pt idx="42">
                  <c:v>3.8760880000000002</c:v>
                </c:pt>
                <c:pt idx="43">
                  <c:v>5.6573563</c:v>
                </c:pt>
                <c:pt idx="44">
                  <c:v>11.489655000000001</c:v>
                </c:pt>
                <c:pt idx="45">
                  <c:v>12.115518</c:v>
                </c:pt>
                <c:pt idx="46">
                  <c:v>11.918350999999999</c:v>
                </c:pt>
                <c:pt idx="47">
                  <c:v>7.6158910000000004</c:v>
                </c:pt>
                <c:pt idx="48">
                  <c:v>7.2633853000000004</c:v>
                </c:pt>
                <c:pt idx="49">
                  <c:v>7.9663880000000002</c:v>
                </c:pt>
                <c:pt idx="50">
                  <c:v>9.7183829999999993</c:v>
                </c:pt>
                <c:pt idx="51">
                  <c:v>10.174310999999999</c:v>
                </c:pt>
                <c:pt idx="52">
                  <c:v>16.293491</c:v>
                </c:pt>
                <c:pt idx="53">
                  <c:v>14.175604999999999</c:v>
                </c:pt>
                <c:pt idx="54">
                  <c:v>15.153642</c:v>
                </c:pt>
                <c:pt idx="55">
                  <c:v>16.770937</c:v>
                </c:pt>
                <c:pt idx="56">
                  <c:v>6.6468030000000002</c:v>
                </c:pt>
                <c:pt idx="57">
                  <c:v>12.734747</c:v>
                </c:pt>
                <c:pt idx="58">
                  <c:v>10.107783</c:v>
                </c:pt>
                <c:pt idx="59">
                  <c:v>9.7079734999999996</c:v>
                </c:pt>
                <c:pt idx="60">
                  <c:v>2.1614575</c:v>
                </c:pt>
                <c:pt idx="61">
                  <c:v>2.4814756</c:v>
                </c:pt>
                <c:pt idx="62">
                  <c:v>6.3467390000000004</c:v>
                </c:pt>
                <c:pt idx="63">
                  <c:v>10.531261000000001</c:v>
                </c:pt>
                <c:pt idx="64">
                  <c:v>10.749039</c:v>
                </c:pt>
                <c:pt idx="65">
                  <c:v>10.779033999999999</c:v>
                </c:pt>
                <c:pt idx="66">
                  <c:v>4.0525045000000004</c:v>
                </c:pt>
                <c:pt idx="67">
                  <c:v>5.8274755000000003</c:v>
                </c:pt>
                <c:pt idx="68">
                  <c:v>6.3748636000000003</c:v>
                </c:pt>
                <c:pt idx="69">
                  <c:v>9.2613660000000007</c:v>
                </c:pt>
                <c:pt idx="70">
                  <c:v>10.430465</c:v>
                </c:pt>
                <c:pt idx="71">
                  <c:v>11.655234</c:v>
                </c:pt>
                <c:pt idx="72">
                  <c:v>9.8279399999999999</c:v>
                </c:pt>
                <c:pt idx="73">
                  <c:v>9.3345000000000002</c:v>
                </c:pt>
                <c:pt idx="74">
                  <c:v>10.544381</c:v>
                </c:pt>
                <c:pt idx="75">
                  <c:v>3.0032835000000002</c:v>
                </c:pt>
                <c:pt idx="76">
                  <c:v>11.194794999999999</c:v>
                </c:pt>
                <c:pt idx="77">
                  <c:v>12.647174</c:v>
                </c:pt>
                <c:pt idx="78">
                  <c:v>13.425038000000001</c:v>
                </c:pt>
                <c:pt idx="79">
                  <c:v>2.3001529999999999</c:v>
                </c:pt>
                <c:pt idx="80">
                  <c:v>1.8605632999999999</c:v>
                </c:pt>
                <c:pt idx="81">
                  <c:v>7.5119023</c:v>
                </c:pt>
                <c:pt idx="82">
                  <c:v>7.3180623000000002</c:v>
                </c:pt>
                <c:pt idx="83">
                  <c:v>10.091803000000001</c:v>
                </c:pt>
                <c:pt idx="84">
                  <c:v>7.9799129999999998</c:v>
                </c:pt>
                <c:pt idx="85">
                  <c:v>2.688342</c:v>
                </c:pt>
                <c:pt idx="86">
                  <c:v>4.0933365999999998</c:v>
                </c:pt>
                <c:pt idx="87">
                  <c:v>6.8198210000000001</c:v>
                </c:pt>
                <c:pt idx="88">
                  <c:v>6.7670599999999999</c:v>
                </c:pt>
                <c:pt idx="89">
                  <c:v>8.7741469999999993</c:v>
                </c:pt>
                <c:pt idx="90">
                  <c:v>6.3648639999999999</c:v>
                </c:pt>
                <c:pt idx="91">
                  <c:v>7.8214319999999997</c:v>
                </c:pt>
                <c:pt idx="92">
                  <c:v>6.4773392999999997</c:v>
                </c:pt>
                <c:pt idx="93">
                  <c:v>7.0311393999999998</c:v>
                </c:pt>
                <c:pt idx="94">
                  <c:v>3.73875</c:v>
                </c:pt>
                <c:pt idx="95">
                  <c:v>10.953766</c:v>
                </c:pt>
                <c:pt idx="96">
                  <c:v>8.2988800000000005</c:v>
                </c:pt>
                <c:pt idx="97">
                  <c:v>8.4237739999999999</c:v>
                </c:pt>
                <c:pt idx="98">
                  <c:v>2.3737688000000001</c:v>
                </c:pt>
                <c:pt idx="99">
                  <c:v>1.9783565000000001</c:v>
                </c:pt>
                <c:pt idx="100">
                  <c:v>8.7539289999999994</c:v>
                </c:pt>
                <c:pt idx="101">
                  <c:v>9.8447429999999994</c:v>
                </c:pt>
                <c:pt idx="102">
                  <c:v>12.29222</c:v>
                </c:pt>
                <c:pt idx="103">
                  <c:v>13.199396</c:v>
                </c:pt>
                <c:pt idx="104">
                  <c:v>0.77176535000000002</c:v>
                </c:pt>
                <c:pt idx="105">
                  <c:v>4.7330360000000002</c:v>
                </c:pt>
                <c:pt idx="106">
                  <c:v>12.018231</c:v>
                </c:pt>
                <c:pt idx="107">
                  <c:v>12.340904</c:v>
                </c:pt>
                <c:pt idx="108">
                  <c:v>11.372693999999999</c:v>
                </c:pt>
                <c:pt idx="109">
                  <c:v>11.958066000000001</c:v>
                </c:pt>
                <c:pt idx="110">
                  <c:v>12.237007999999999</c:v>
                </c:pt>
                <c:pt idx="111">
                  <c:v>11.418971000000001</c:v>
                </c:pt>
                <c:pt idx="112">
                  <c:v>11.417154</c:v>
                </c:pt>
                <c:pt idx="113">
                  <c:v>6.5017446999999997</c:v>
                </c:pt>
                <c:pt idx="114">
                  <c:v>9.9912349999999996</c:v>
                </c:pt>
                <c:pt idx="115">
                  <c:v>10.473602</c:v>
                </c:pt>
                <c:pt idx="116">
                  <c:v>10.077874</c:v>
                </c:pt>
                <c:pt idx="117">
                  <c:v>1.9642065</c:v>
                </c:pt>
                <c:pt idx="118">
                  <c:v>3.6876492999999999</c:v>
                </c:pt>
                <c:pt idx="119">
                  <c:v>6.1816114999999998</c:v>
                </c:pt>
                <c:pt idx="120">
                  <c:v>7.2739444000000004</c:v>
                </c:pt>
                <c:pt idx="121">
                  <c:v>7.5631595000000003</c:v>
                </c:pt>
                <c:pt idx="122">
                  <c:v>8.9609220000000001</c:v>
                </c:pt>
                <c:pt idx="123">
                  <c:v>1.9126034000000001</c:v>
                </c:pt>
                <c:pt idx="124">
                  <c:v>2.5148244000000002</c:v>
                </c:pt>
                <c:pt idx="125">
                  <c:v>7.9335336999999999</c:v>
                </c:pt>
                <c:pt idx="126">
                  <c:v>8.9971759999999996</c:v>
                </c:pt>
                <c:pt idx="127">
                  <c:v>8.5631120000000003</c:v>
                </c:pt>
                <c:pt idx="128">
                  <c:v>8.2876799999999999</c:v>
                </c:pt>
                <c:pt idx="129">
                  <c:v>8.6267399999999999</c:v>
                </c:pt>
                <c:pt idx="130">
                  <c:v>7.5294147000000002</c:v>
                </c:pt>
                <c:pt idx="131">
                  <c:v>7.1918350000000002</c:v>
                </c:pt>
                <c:pt idx="132">
                  <c:v>6.9771729999999996</c:v>
                </c:pt>
                <c:pt idx="133">
                  <c:v>22.666202999999999</c:v>
                </c:pt>
                <c:pt idx="134">
                  <c:v>17.519590000000001</c:v>
                </c:pt>
                <c:pt idx="135">
                  <c:v>17.111609999999999</c:v>
                </c:pt>
                <c:pt idx="136">
                  <c:v>1.6279737999999999</c:v>
                </c:pt>
                <c:pt idx="137">
                  <c:v>3.1387331000000001</c:v>
                </c:pt>
                <c:pt idx="138">
                  <c:v>3.7178599999999999</c:v>
                </c:pt>
                <c:pt idx="139">
                  <c:v>11.8402195</c:v>
                </c:pt>
                <c:pt idx="140">
                  <c:v>14.849231</c:v>
                </c:pt>
                <c:pt idx="141">
                  <c:v>16.199874999999999</c:v>
                </c:pt>
                <c:pt idx="142">
                  <c:v>5.2978449999999997</c:v>
                </c:pt>
                <c:pt idx="143">
                  <c:v>9.3339189999999999</c:v>
                </c:pt>
                <c:pt idx="144">
                  <c:v>13.487780000000001</c:v>
                </c:pt>
                <c:pt idx="145">
                  <c:v>13.446505</c:v>
                </c:pt>
                <c:pt idx="146">
                  <c:v>14.210754</c:v>
                </c:pt>
                <c:pt idx="147">
                  <c:v>13.316108</c:v>
                </c:pt>
                <c:pt idx="148">
                  <c:v>14.539993000000001</c:v>
                </c:pt>
                <c:pt idx="149">
                  <c:v>13.361504999999999</c:v>
                </c:pt>
                <c:pt idx="150">
                  <c:v>16.812270999999999</c:v>
                </c:pt>
                <c:pt idx="151">
                  <c:v>5.9440010000000001</c:v>
                </c:pt>
                <c:pt idx="152">
                  <c:v>19.99859</c:v>
                </c:pt>
                <c:pt idx="153">
                  <c:v>18.29804</c:v>
                </c:pt>
                <c:pt idx="154">
                  <c:v>13.407733</c:v>
                </c:pt>
                <c:pt idx="155">
                  <c:v>3.0790799</c:v>
                </c:pt>
                <c:pt idx="156">
                  <c:v>3.6709442000000001</c:v>
                </c:pt>
                <c:pt idx="157">
                  <c:v>9.7584095000000008</c:v>
                </c:pt>
                <c:pt idx="158">
                  <c:v>12.074488000000001</c:v>
                </c:pt>
                <c:pt idx="159">
                  <c:v>14.868990999999999</c:v>
                </c:pt>
                <c:pt idx="160">
                  <c:v>11.827425</c:v>
                </c:pt>
                <c:pt idx="161">
                  <c:v>4.2148890000000003</c:v>
                </c:pt>
                <c:pt idx="162">
                  <c:v>11.6678</c:v>
                </c:pt>
                <c:pt idx="163">
                  <c:v>17.011151999999999</c:v>
                </c:pt>
                <c:pt idx="164">
                  <c:v>13.760159</c:v>
                </c:pt>
                <c:pt idx="165">
                  <c:v>17.380882</c:v>
                </c:pt>
                <c:pt idx="166">
                  <c:v>14.214274</c:v>
                </c:pt>
                <c:pt idx="167">
                  <c:v>15.003769999999999</c:v>
                </c:pt>
                <c:pt idx="168">
                  <c:v>15.490266</c:v>
                </c:pt>
                <c:pt idx="169">
                  <c:v>15.814289</c:v>
                </c:pt>
                <c:pt idx="170">
                  <c:v>7.9826370000000004</c:v>
                </c:pt>
                <c:pt idx="171">
                  <c:v>13.1264305</c:v>
                </c:pt>
                <c:pt idx="172">
                  <c:v>17.069132</c:v>
                </c:pt>
                <c:pt idx="173">
                  <c:v>10.92488</c:v>
                </c:pt>
                <c:pt idx="174">
                  <c:v>4.2278950000000002</c:v>
                </c:pt>
                <c:pt idx="175">
                  <c:v>5.1486086999999996</c:v>
                </c:pt>
                <c:pt idx="176">
                  <c:v>6.5647773999999997</c:v>
                </c:pt>
                <c:pt idx="177">
                  <c:v>10.10896</c:v>
                </c:pt>
                <c:pt idx="178">
                  <c:v>11.103032000000001</c:v>
                </c:pt>
                <c:pt idx="179">
                  <c:v>10.95595</c:v>
                </c:pt>
                <c:pt idx="180">
                  <c:v>4.0048585000000001</c:v>
                </c:pt>
                <c:pt idx="181">
                  <c:v>3.1105597</c:v>
                </c:pt>
                <c:pt idx="182">
                  <c:v>9.0067140000000006</c:v>
                </c:pt>
                <c:pt idx="183">
                  <c:v>7.7784414000000002</c:v>
                </c:pt>
                <c:pt idx="184">
                  <c:v>7.695964</c:v>
                </c:pt>
                <c:pt idx="185">
                  <c:v>8.2444959999999998</c:v>
                </c:pt>
                <c:pt idx="186">
                  <c:v>9.5140860000000007</c:v>
                </c:pt>
                <c:pt idx="187">
                  <c:v>9.0933694999999997</c:v>
                </c:pt>
                <c:pt idx="188">
                  <c:v>10.627224999999999</c:v>
                </c:pt>
                <c:pt idx="189">
                  <c:v>7.6562643000000001</c:v>
                </c:pt>
                <c:pt idx="190">
                  <c:v>13.686932000000001</c:v>
                </c:pt>
                <c:pt idx="191">
                  <c:v>16.484386000000001</c:v>
                </c:pt>
                <c:pt idx="192">
                  <c:v>9.9697779999999998</c:v>
                </c:pt>
                <c:pt idx="193">
                  <c:v>2.9846531999999999</c:v>
                </c:pt>
                <c:pt idx="194">
                  <c:v>5.2621399999999996</c:v>
                </c:pt>
                <c:pt idx="195">
                  <c:v>6.0331010000000003</c:v>
                </c:pt>
                <c:pt idx="196">
                  <c:v>8.9740280000000006</c:v>
                </c:pt>
                <c:pt idx="197">
                  <c:v>9.4079049999999995</c:v>
                </c:pt>
                <c:pt idx="198">
                  <c:v>9.899915</c:v>
                </c:pt>
                <c:pt idx="199">
                  <c:v>0.55803119999999995</c:v>
                </c:pt>
                <c:pt idx="200">
                  <c:v>5.6431870000000002</c:v>
                </c:pt>
                <c:pt idx="201">
                  <c:v>10.070865</c:v>
                </c:pt>
                <c:pt idx="202">
                  <c:v>8.9790700000000001</c:v>
                </c:pt>
                <c:pt idx="203">
                  <c:v>9.7189870000000003</c:v>
                </c:pt>
                <c:pt idx="204">
                  <c:v>9.8321020000000008</c:v>
                </c:pt>
                <c:pt idx="205">
                  <c:v>9.5794750000000004</c:v>
                </c:pt>
                <c:pt idx="206">
                  <c:v>9.1856910000000003</c:v>
                </c:pt>
                <c:pt idx="207">
                  <c:v>9.5525559999999992</c:v>
                </c:pt>
                <c:pt idx="208">
                  <c:v>5.8684086999999998</c:v>
                </c:pt>
                <c:pt idx="209">
                  <c:v>11.791694</c:v>
                </c:pt>
                <c:pt idx="210">
                  <c:v>13.792147999999999</c:v>
                </c:pt>
                <c:pt idx="211">
                  <c:v>10.566127</c:v>
                </c:pt>
                <c:pt idx="212">
                  <c:v>0.75480544999999999</c:v>
                </c:pt>
                <c:pt idx="213">
                  <c:v>5.162795</c:v>
                </c:pt>
                <c:pt idx="214">
                  <c:v>7.0639250000000002</c:v>
                </c:pt>
                <c:pt idx="215">
                  <c:v>8.4640620000000002</c:v>
                </c:pt>
                <c:pt idx="216">
                  <c:v>8.3046699999999998</c:v>
                </c:pt>
                <c:pt idx="217">
                  <c:v>8.3774440000000006</c:v>
                </c:pt>
                <c:pt idx="218">
                  <c:v>1.3588133</c:v>
                </c:pt>
                <c:pt idx="219">
                  <c:v>5.1344099999999999</c:v>
                </c:pt>
                <c:pt idx="220">
                  <c:v>8.5557219999999994</c:v>
                </c:pt>
                <c:pt idx="221">
                  <c:v>8.8466834999999993</c:v>
                </c:pt>
                <c:pt idx="222">
                  <c:v>9.0420110000000005</c:v>
                </c:pt>
                <c:pt idx="223">
                  <c:v>7.9593214999999997</c:v>
                </c:pt>
                <c:pt idx="224">
                  <c:v>6.4872923</c:v>
                </c:pt>
                <c:pt idx="225">
                  <c:v>8.1645059999999994</c:v>
                </c:pt>
                <c:pt idx="226">
                  <c:v>8.3596409999999999</c:v>
                </c:pt>
                <c:pt idx="227">
                  <c:v>3.4583235000000001</c:v>
                </c:pt>
                <c:pt idx="228">
                  <c:v>8.8331900000000001</c:v>
                </c:pt>
                <c:pt idx="229">
                  <c:v>9.2821010000000008</c:v>
                </c:pt>
                <c:pt idx="230">
                  <c:v>11.742872999999999</c:v>
                </c:pt>
                <c:pt idx="231">
                  <c:v>1.2613179999999999</c:v>
                </c:pt>
                <c:pt idx="232">
                  <c:v>2.5722797000000002</c:v>
                </c:pt>
                <c:pt idx="233">
                  <c:v>5.6222896999999996</c:v>
                </c:pt>
                <c:pt idx="234">
                  <c:v>7.8757289999999998</c:v>
                </c:pt>
                <c:pt idx="235">
                  <c:v>5.2791123000000004</c:v>
                </c:pt>
                <c:pt idx="236">
                  <c:v>5.7708225000000004</c:v>
                </c:pt>
                <c:pt idx="237">
                  <c:v>1.0120659000000001</c:v>
                </c:pt>
                <c:pt idx="238">
                  <c:v>3.8668133999999998</c:v>
                </c:pt>
                <c:pt idx="239">
                  <c:v>7.3155403000000003</c:v>
                </c:pt>
                <c:pt idx="240">
                  <c:v>6.5786514</c:v>
                </c:pt>
                <c:pt idx="241">
                  <c:v>7.0403985999999996</c:v>
                </c:pt>
                <c:pt idx="242">
                  <c:v>5.6641349999999999</c:v>
                </c:pt>
                <c:pt idx="243">
                  <c:v>4.4678234999999997</c:v>
                </c:pt>
                <c:pt idx="244">
                  <c:v>5.2978535000000004</c:v>
                </c:pt>
                <c:pt idx="245">
                  <c:v>5.9786739999999998</c:v>
                </c:pt>
                <c:pt idx="246">
                  <c:v>2.5679690000000002</c:v>
                </c:pt>
                <c:pt idx="247">
                  <c:v>13.632745999999999</c:v>
                </c:pt>
                <c:pt idx="248">
                  <c:v>18.104448000000001</c:v>
                </c:pt>
                <c:pt idx="249">
                  <c:v>11.285318999999999</c:v>
                </c:pt>
                <c:pt idx="250">
                  <c:v>1.6241737999999999</c:v>
                </c:pt>
                <c:pt idx="251">
                  <c:v>3.4113509999999998</c:v>
                </c:pt>
                <c:pt idx="252">
                  <c:v>5.9128647000000001</c:v>
                </c:pt>
                <c:pt idx="253">
                  <c:v>8.7550849999999993</c:v>
                </c:pt>
                <c:pt idx="254">
                  <c:v>11.316934</c:v>
                </c:pt>
                <c:pt idx="255">
                  <c:v>9.6055589999999995</c:v>
                </c:pt>
                <c:pt idx="256">
                  <c:v>0.90547496000000005</c:v>
                </c:pt>
                <c:pt idx="257">
                  <c:v>5.4867834999999996</c:v>
                </c:pt>
                <c:pt idx="258">
                  <c:v>10.167261</c:v>
                </c:pt>
                <c:pt idx="259">
                  <c:v>10.723936</c:v>
                </c:pt>
                <c:pt idx="260">
                  <c:v>10.291062</c:v>
                </c:pt>
                <c:pt idx="261">
                  <c:v>9.9801029999999997</c:v>
                </c:pt>
                <c:pt idx="262">
                  <c:v>9.7062229999999996</c:v>
                </c:pt>
                <c:pt idx="263">
                  <c:v>9.0881749999999997</c:v>
                </c:pt>
                <c:pt idx="264">
                  <c:v>10.816637999999999</c:v>
                </c:pt>
                <c:pt idx="265">
                  <c:v>5.5034932999999997</c:v>
                </c:pt>
                <c:pt idx="266">
                  <c:v>3.6568665999999999</c:v>
                </c:pt>
                <c:pt idx="267">
                  <c:v>9.9486080000000001</c:v>
                </c:pt>
                <c:pt idx="268">
                  <c:v>8.7190139999999996</c:v>
                </c:pt>
                <c:pt idx="269">
                  <c:v>1.3091345999999999</c:v>
                </c:pt>
                <c:pt idx="270">
                  <c:v>3.2640264000000001</c:v>
                </c:pt>
                <c:pt idx="271">
                  <c:v>5.7991805000000003</c:v>
                </c:pt>
                <c:pt idx="272">
                  <c:v>4.5708776000000002</c:v>
                </c:pt>
                <c:pt idx="273">
                  <c:v>6.0239599999999998</c:v>
                </c:pt>
                <c:pt idx="274">
                  <c:v>4.9843279999999996</c:v>
                </c:pt>
                <c:pt idx="275">
                  <c:v>1.8926489</c:v>
                </c:pt>
                <c:pt idx="276">
                  <c:v>4.3220505999999999</c:v>
                </c:pt>
                <c:pt idx="277">
                  <c:v>6.6394773000000002</c:v>
                </c:pt>
                <c:pt idx="278">
                  <c:v>8.7640940000000001</c:v>
                </c:pt>
                <c:pt idx="279">
                  <c:v>9.2138819999999999</c:v>
                </c:pt>
                <c:pt idx="280">
                  <c:v>7.748729</c:v>
                </c:pt>
                <c:pt idx="281">
                  <c:v>6.5533700000000001</c:v>
                </c:pt>
                <c:pt idx="282">
                  <c:v>3.8514024999999998</c:v>
                </c:pt>
                <c:pt idx="283">
                  <c:v>5.7231310000000004</c:v>
                </c:pt>
                <c:pt idx="284">
                  <c:v>4.7682915000000001</c:v>
                </c:pt>
                <c:pt idx="285">
                  <c:v>12.662792</c:v>
                </c:pt>
                <c:pt idx="286">
                  <c:v>15.587012</c:v>
                </c:pt>
                <c:pt idx="287">
                  <c:v>15.671246999999999</c:v>
                </c:pt>
                <c:pt idx="288">
                  <c:v>1.3881673999999999</c:v>
                </c:pt>
                <c:pt idx="289">
                  <c:v>4.3004756000000004</c:v>
                </c:pt>
                <c:pt idx="290">
                  <c:v>7.7836949999999998</c:v>
                </c:pt>
                <c:pt idx="291">
                  <c:v>9.3348879999999994</c:v>
                </c:pt>
                <c:pt idx="292">
                  <c:v>8.6732239999999994</c:v>
                </c:pt>
                <c:pt idx="293">
                  <c:v>8.9097399999999993</c:v>
                </c:pt>
                <c:pt idx="294">
                  <c:v>2.7433743000000002</c:v>
                </c:pt>
                <c:pt idx="295">
                  <c:v>4.4262513999999999</c:v>
                </c:pt>
                <c:pt idx="296">
                  <c:v>11.073884</c:v>
                </c:pt>
                <c:pt idx="297">
                  <c:v>10.242133000000001</c:v>
                </c:pt>
                <c:pt idx="298">
                  <c:v>12.04054</c:v>
                </c:pt>
                <c:pt idx="299">
                  <c:v>10.001066</c:v>
                </c:pt>
                <c:pt idx="300">
                  <c:v>8.7781310000000001</c:v>
                </c:pt>
                <c:pt idx="301">
                  <c:v>8.9390619999999998</c:v>
                </c:pt>
                <c:pt idx="302">
                  <c:v>8.9532500000000006</c:v>
                </c:pt>
                <c:pt idx="303">
                  <c:v>8.6857439999999997</c:v>
                </c:pt>
                <c:pt idx="304">
                  <c:v>14.19483</c:v>
                </c:pt>
                <c:pt idx="305">
                  <c:v>16.51051</c:v>
                </c:pt>
                <c:pt idx="306">
                  <c:v>12.341585</c:v>
                </c:pt>
                <c:pt idx="307">
                  <c:v>2.8274252</c:v>
                </c:pt>
                <c:pt idx="308">
                  <c:v>4.296278</c:v>
                </c:pt>
                <c:pt idx="309">
                  <c:v>7.2858714999999998</c:v>
                </c:pt>
                <c:pt idx="310">
                  <c:v>9.1700429999999997</c:v>
                </c:pt>
                <c:pt idx="311">
                  <c:v>11.000622999999999</c:v>
                </c:pt>
                <c:pt idx="312">
                  <c:v>10.008817000000001</c:v>
                </c:pt>
                <c:pt idx="313">
                  <c:v>2.8513204999999999</c:v>
                </c:pt>
                <c:pt idx="314">
                  <c:v>7.7492890000000001</c:v>
                </c:pt>
                <c:pt idx="315">
                  <c:v>14.458561</c:v>
                </c:pt>
                <c:pt idx="316">
                  <c:v>14.863243000000001</c:v>
                </c:pt>
                <c:pt idx="317">
                  <c:v>14.117018</c:v>
                </c:pt>
                <c:pt idx="318">
                  <c:v>12.996346000000001</c:v>
                </c:pt>
                <c:pt idx="319">
                  <c:v>13.956877</c:v>
                </c:pt>
                <c:pt idx="320">
                  <c:v>12.136566</c:v>
                </c:pt>
                <c:pt idx="321">
                  <c:v>12.403366999999999</c:v>
                </c:pt>
                <c:pt idx="322">
                  <c:v>5.2789945999999999</c:v>
                </c:pt>
                <c:pt idx="323">
                  <c:v>12.540792</c:v>
                </c:pt>
                <c:pt idx="324">
                  <c:v>9.4379500000000007</c:v>
                </c:pt>
                <c:pt idx="325">
                  <c:v>8.6992480000000008</c:v>
                </c:pt>
                <c:pt idx="326">
                  <c:v>2.3430111</c:v>
                </c:pt>
                <c:pt idx="327">
                  <c:v>2.0653320000000002</c:v>
                </c:pt>
                <c:pt idx="328">
                  <c:v>4.105003</c:v>
                </c:pt>
                <c:pt idx="329">
                  <c:v>4.9275393000000003</c:v>
                </c:pt>
                <c:pt idx="330">
                  <c:v>5.4252260000000003</c:v>
                </c:pt>
                <c:pt idx="331">
                  <c:v>5.5466704</c:v>
                </c:pt>
                <c:pt idx="332">
                  <c:v>3.8727502999999999</c:v>
                </c:pt>
                <c:pt idx="333">
                  <c:v>3.0756822000000001</c:v>
                </c:pt>
                <c:pt idx="334">
                  <c:v>7.3258979999999996</c:v>
                </c:pt>
                <c:pt idx="335">
                  <c:v>7.0772395000000001</c:v>
                </c:pt>
                <c:pt idx="336">
                  <c:v>7.2720737</c:v>
                </c:pt>
                <c:pt idx="337">
                  <c:v>5.8270819999999999</c:v>
                </c:pt>
                <c:pt idx="338">
                  <c:v>6.0287876000000002</c:v>
                </c:pt>
                <c:pt idx="339">
                  <c:v>4.9999513999999996</c:v>
                </c:pt>
                <c:pt idx="340">
                  <c:v>7.989134</c:v>
                </c:pt>
                <c:pt idx="341">
                  <c:v>3.3838110000000001</c:v>
                </c:pt>
                <c:pt idx="342">
                  <c:v>11.676190999999999</c:v>
                </c:pt>
                <c:pt idx="343">
                  <c:v>14.426494999999999</c:v>
                </c:pt>
                <c:pt idx="344">
                  <c:v>10.789814</c:v>
                </c:pt>
                <c:pt idx="345">
                  <c:v>1.9744771999999999</c:v>
                </c:pt>
                <c:pt idx="346">
                  <c:v>5.0167327000000004</c:v>
                </c:pt>
                <c:pt idx="347">
                  <c:v>8.6169899999999995</c:v>
                </c:pt>
                <c:pt idx="348">
                  <c:v>10.958046</c:v>
                </c:pt>
                <c:pt idx="349">
                  <c:v>11.145265999999999</c:v>
                </c:pt>
                <c:pt idx="350">
                  <c:v>11.192518</c:v>
                </c:pt>
                <c:pt idx="351">
                  <c:v>4.2261160000000002</c:v>
                </c:pt>
                <c:pt idx="352">
                  <c:v>6.4767419999999998</c:v>
                </c:pt>
                <c:pt idx="353">
                  <c:v>14.1513405</c:v>
                </c:pt>
                <c:pt idx="354">
                  <c:v>14.377050000000001</c:v>
                </c:pt>
                <c:pt idx="355">
                  <c:v>13.865193</c:v>
                </c:pt>
                <c:pt idx="356">
                  <c:v>12.832138</c:v>
                </c:pt>
                <c:pt idx="357">
                  <c:v>11.387790000000001</c:v>
                </c:pt>
                <c:pt idx="358">
                  <c:v>10.768079</c:v>
                </c:pt>
                <c:pt idx="359">
                  <c:v>12.805128</c:v>
                </c:pt>
                <c:pt idx="360">
                  <c:v>7.0821310000000004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9-4551-95D0-2013E5BA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911343"/>
        <c:axId val="584913743"/>
      </c:scatterChart>
      <c:valAx>
        <c:axId val="58491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Yied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13743"/>
        <c:crosses val="autoZero"/>
        <c:crossBetween val="midCat"/>
      </c:valAx>
      <c:valAx>
        <c:axId val="5849137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1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1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91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 b="1" i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model_data!$B$1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model_data!$A$2:$A$5</c:f>
              <c:strCache>
                <c:ptCount val="4"/>
                <c:pt idx="0">
                  <c:v>SVR</c:v>
                </c:pt>
                <c:pt idx="1">
                  <c:v>Random Forest</c:v>
                </c:pt>
                <c:pt idx="2">
                  <c:v>Linear Regression</c:v>
                </c:pt>
                <c:pt idx="3">
                  <c:v>XGBoost</c:v>
                </c:pt>
              </c:strCache>
            </c:strRef>
          </c:cat>
          <c:val>
            <c:numRef>
              <c:f>model_data!$B$2:$B$5</c:f>
              <c:numCache>
                <c:formatCode>General</c:formatCode>
                <c:ptCount val="4"/>
                <c:pt idx="0">
                  <c:v>0.6</c:v>
                </c:pt>
                <c:pt idx="1">
                  <c:v>0.68</c:v>
                </c:pt>
                <c:pt idx="2">
                  <c:v>0.78</c:v>
                </c:pt>
                <c:pt idx="3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9-49D8-AFF3-3130C4DA94CD}"/>
            </c:ext>
          </c:extLst>
        </c:ser>
        <c:ser>
          <c:idx val="1"/>
          <c:order val="1"/>
          <c:tx>
            <c:strRef>
              <c:f>model_data!$C$1</c:f>
              <c:strCache>
                <c:ptCount val="1"/>
                <c:pt idx="0">
                  <c:v>Root Mean Square Error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model_data!$A$2:$A$5</c:f>
              <c:strCache>
                <c:ptCount val="4"/>
                <c:pt idx="0">
                  <c:v>SVR</c:v>
                </c:pt>
                <c:pt idx="1">
                  <c:v>Random Forest</c:v>
                </c:pt>
                <c:pt idx="2">
                  <c:v>Linear Regression</c:v>
                </c:pt>
                <c:pt idx="3">
                  <c:v>XGBoost</c:v>
                </c:pt>
              </c:strCache>
            </c:strRef>
          </c:cat>
          <c:val>
            <c:numRef>
              <c:f>model_data!$C$2:$C$5</c:f>
              <c:numCache>
                <c:formatCode>0.000000</c:formatCode>
                <c:ptCount val="4"/>
                <c:pt idx="0">
                  <c:v>3.06</c:v>
                </c:pt>
                <c:pt idx="1">
                  <c:v>2.73</c:v>
                </c:pt>
                <c:pt idx="2">
                  <c:v>2.27</c:v>
                </c:pt>
                <c:pt idx="3">
                  <c:v>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79-49D8-AFF3-3130C4DA94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5281567"/>
        <c:axId val="795282527"/>
      </c:barChart>
      <c:catAx>
        <c:axId val="79528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282527"/>
        <c:crosses val="autoZero"/>
        <c:auto val="1"/>
        <c:lblAlgn val="ctr"/>
        <c:lblOffset val="100"/>
        <c:noMultiLvlLbl val="0"/>
      </c:catAx>
      <c:valAx>
        <c:axId val="795282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528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spPr>
          <a:solidFill>
            <a:srgbClr val="EAE9E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AE9E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AE9E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AE9E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AE9E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AE9E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475242741896528"/>
          <c:y val="6.1664964473583064E-2"/>
          <c:w val="0.75233575052130341"/>
          <c:h val="0.8946946485245828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40-4C49-BE12-DE7E58D249F3}"/>
              </c:ext>
            </c:extLst>
          </c:dPt>
          <c:dPt>
            <c:idx val="1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40-4C49-BE12-DE7E58D249F3}"/>
              </c:ext>
            </c:extLst>
          </c:dPt>
          <c:dPt>
            <c:idx val="2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40-4C49-BE12-DE7E58D249F3}"/>
              </c:ext>
            </c:extLst>
          </c:dPt>
          <c:dPt>
            <c:idx val="3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40-4C49-BE12-DE7E58D249F3}"/>
              </c:ext>
            </c:extLst>
          </c:dPt>
          <c:dPt>
            <c:idx val="4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40-4C49-BE12-DE7E58D249F3}"/>
              </c:ext>
            </c:extLst>
          </c:dPt>
          <c:dPt>
            <c:idx val="5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40-4C49-BE12-DE7E58D249F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1F40-4C49-BE12-DE7E58D249F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F40-4C49-BE12-DE7E58D249F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F40-4C49-BE12-DE7E58D249F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F40-4C49-BE12-DE7E58D249F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F40-4C49-BE12-DE7E58D249F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F40-4C49-BE12-DE7E58D249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N4(P)KMg</c:v>
              </c:pt>
              <c:pt idx="1">
                <c:v>N5(P)KMg</c:v>
              </c:pt>
              <c:pt idx="2">
                <c:v>N6(P)KMg</c:v>
              </c:pt>
              <c:pt idx="3">
                <c:v>N3(P)KMg</c:v>
              </c:pt>
              <c:pt idx="4">
                <c:v>N1+2+1 PKMg</c:v>
              </c:pt>
              <c:pt idx="5">
                <c:v>N4PK</c:v>
              </c:pt>
              <c:pt idx="6">
                <c:v>FYM N3</c:v>
              </c:pt>
              <c:pt idx="7">
                <c:v>N4PK*(Mg*)</c:v>
              </c:pt>
              <c:pt idx="8">
                <c:v>(FYM) N4 </c:v>
              </c:pt>
              <c:pt idx="9">
                <c:v>FYM</c:v>
              </c:pt>
            </c:strLit>
          </c:cat>
          <c:val>
            <c:numLit>
              <c:formatCode>General</c:formatCode>
              <c:ptCount val="10"/>
              <c:pt idx="0">
                <c:v>144.16999999999999</c:v>
              </c:pt>
              <c:pt idx="1">
                <c:v>145.64000000000004</c:v>
              </c:pt>
              <c:pt idx="2">
                <c:v>146.10000000000002</c:v>
              </c:pt>
              <c:pt idx="3">
                <c:v>147.05999999999997</c:v>
              </c:pt>
              <c:pt idx="4">
                <c:v>151.94999999999999</c:v>
              </c:pt>
              <c:pt idx="5">
                <c:v>152.94999999999999</c:v>
              </c:pt>
              <c:pt idx="6">
                <c:v>159.85000000000005</c:v>
              </c:pt>
              <c:pt idx="7">
                <c:v>161.63</c:v>
              </c:pt>
              <c:pt idx="8">
                <c:v>192.25</c:v>
              </c:pt>
              <c:pt idx="9">
                <c:v>237.75</c:v>
              </c:pt>
            </c:numLit>
          </c:val>
          <c:extLst>
            <c:ext xmlns:c16="http://schemas.microsoft.com/office/drawing/2014/chart" uri="{C3380CC4-5D6E-409C-BE32-E72D297353CC}">
              <c16:uniqueId val="{00000000-1F40-4C49-BE12-DE7E58D249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3"/>
        <c:axId val="674570015"/>
        <c:axId val="674569535"/>
      </c:barChart>
      <c:catAx>
        <c:axId val="674570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1"/>
                  <a:t>Fertilizer_Code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569535"/>
        <c:crosses val="autoZero"/>
        <c:auto val="1"/>
        <c:lblAlgn val="ctr"/>
        <c:lblOffset val="100"/>
        <c:noMultiLvlLbl val="0"/>
      </c:catAx>
      <c:valAx>
        <c:axId val="6745695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1"/>
                  <a:t>Actual_Yield</a:t>
                </a:r>
              </a:p>
            </c:rich>
          </c:tx>
          <c:layout>
            <c:manualLayout>
              <c:xMode val="edge"/>
              <c:yMode val="edge"/>
              <c:x val="0.78499427796643906"/>
              <c:y val="0.898633070866141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7457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765411415771609"/>
          <c:y val="6.9708491761723695E-2"/>
          <c:w val="0.4887052239037496"/>
          <c:h val="0.860583016476552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model_data!$B$8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80-4455-B771-8A9C00953EF3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80-4455-B771-8A9C00953EF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80-4455-B771-8A9C00953EF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80-4455-B771-8A9C00953EF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80-4455-B771-8A9C00953EF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80-4455-B771-8A9C00953EF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80-4455-B771-8A9C00953EF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80-4455-B771-8A9C00953E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model_data!$A$9:$A$14</c:f>
              <c:strCache>
                <c:ptCount val="6"/>
                <c:pt idx="0">
                  <c:v>fertilizer_code_FYM_N3 &lt;= 0.00</c:v>
                </c:pt>
                <c:pt idx="1">
                  <c:v>precipitation &lt;= 396.50</c:v>
                </c:pt>
                <c:pt idx="2">
                  <c:v>fertilizer_code_N4PMg &lt;= 0.00</c:v>
                </c:pt>
                <c:pt idx="3">
                  <c:v>fertilizer_code_N4 &lt;= 0.00</c:v>
                </c:pt>
                <c:pt idx="4">
                  <c:v>fertilizer_code_Nil &lt;= 0.00</c:v>
                </c:pt>
                <c:pt idx="5">
                  <c:v>fertilizer_code__P_KMg &lt;= 0.00</c:v>
                </c:pt>
              </c:strCache>
            </c:strRef>
          </c:cat>
          <c:val>
            <c:numRef>
              <c:f>model_data!$B$9:$B$14</c:f>
              <c:numCache>
                <c:formatCode>General</c:formatCode>
                <c:ptCount val="6"/>
                <c:pt idx="0">
                  <c:v>-2.81</c:v>
                </c:pt>
                <c:pt idx="1">
                  <c:v>-1.1399999999999999</c:v>
                </c:pt>
                <c:pt idx="2">
                  <c:v>2.42</c:v>
                </c:pt>
                <c:pt idx="3">
                  <c:v>3.83</c:v>
                </c:pt>
                <c:pt idx="4">
                  <c:v>4.16</c:v>
                </c:pt>
                <c:pt idx="5">
                  <c:v>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D80-4455-B771-8A9C00953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1072841663"/>
        <c:axId val="1072842143"/>
      </c:barChart>
      <c:catAx>
        <c:axId val="107284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42143"/>
        <c:crosses val="autoZero"/>
        <c:auto val="1"/>
        <c:lblAlgn val="ctr"/>
        <c:lblOffset val="100"/>
        <c:noMultiLvlLbl val="0"/>
      </c:catAx>
      <c:valAx>
        <c:axId val="1072842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284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47898656785548871"/>
          <c:y val="6.7401960784313722E-2"/>
          <c:w val="0.44258205959549174"/>
          <c:h val="0.865196078431372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model_data!$B$26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64-482C-8DB5-F7D0C20549CE}"/>
              </c:ext>
            </c:extLst>
          </c:dPt>
          <c:dPt>
            <c:idx val="1"/>
            <c:invertIfNegative val="0"/>
            <c:bubble3D val="0"/>
            <c:spPr>
              <a:solidFill>
                <a:srgbClr val="196B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64-482C-8DB5-F7D0C20549CE}"/>
              </c:ext>
            </c:extLst>
          </c:dPt>
          <c:dPt>
            <c:idx val="2"/>
            <c:invertIfNegative val="0"/>
            <c:bubble3D val="0"/>
            <c:spPr>
              <a:solidFill>
                <a:srgbClr val="196B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D64-482C-8DB5-F7D0C20549CE}"/>
              </c:ext>
            </c:extLst>
          </c:dPt>
          <c:dPt>
            <c:idx val="3"/>
            <c:invertIfNegative val="0"/>
            <c:bubble3D val="0"/>
            <c:spPr>
              <a:solidFill>
                <a:srgbClr val="196B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64-482C-8DB5-F7D0C20549CE}"/>
              </c:ext>
            </c:extLst>
          </c:dPt>
          <c:dPt>
            <c:idx val="4"/>
            <c:invertIfNegative val="0"/>
            <c:bubble3D val="0"/>
            <c:spPr>
              <a:solidFill>
                <a:srgbClr val="196B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D64-482C-8DB5-F7D0C20549CE}"/>
              </c:ext>
            </c:extLst>
          </c:dPt>
          <c:dPt>
            <c:idx val="5"/>
            <c:invertIfNegative val="0"/>
            <c:bubble3D val="0"/>
            <c:spPr>
              <a:solidFill>
                <a:srgbClr val="196B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D64-482C-8DB5-F7D0C20549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64-482C-8DB5-F7D0C20549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model_data!$A$27:$A$32</c:f>
              <c:strCache>
                <c:ptCount val="6"/>
                <c:pt idx="0">
                  <c:v>precipitation &lt;= 396.50</c:v>
                </c:pt>
                <c:pt idx="1">
                  <c:v>fertilizer_code_N4PMg &lt;= 0.00</c:v>
                </c:pt>
                <c:pt idx="2">
                  <c:v>fertilizer_code_N4 &lt;= 0.00</c:v>
                </c:pt>
                <c:pt idx="3">
                  <c:v>dry_matter &gt; 28.73</c:v>
                </c:pt>
                <c:pt idx="4">
                  <c:v>fertilizer_code_Nil &lt;= 0.00</c:v>
                </c:pt>
                <c:pt idx="5">
                  <c:v>fertilizer_code__P_KMg &lt;= 0.00</c:v>
                </c:pt>
              </c:strCache>
            </c:strRef>
          </c:cat>
          <c:val>
            <c:numRef>
              <c:f>model_data!$B$27:$B$32</c:f>
              <c:numCache>
                <c:formatCode>General</c:formatCode>
                <c:ptCount val="6"/>
                <c:pt idx="0">
                  <c:v>-1.18</c:v>
                </c:pt>
                <c:pt idx="1">
                  <c:v>2.71</c:v>
                </c:pt>
                <c:pt idx="2">
                  <c:v>4.0199999999999996</c:v>
                </c:pt>
                <c:pt idx="3">
                  <c:v>4.3600000000000003</c:v>
                </c:pt>
                <c:pt idx="4">
                  <c:v>4.3899999999999997</c:v>
                </c:pt>
                <c:pt idx="5">
                  <c:v>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64-482C-8DB5-F7D0C2054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1072841663"/>
        <c:axId val="1072842143"/>
      </c:barChart>
      <c:catAx>
        <c:axId val="107284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42143"/>
        <c:crosses val="autoZero"/>
        <c:auto val="1"/>
        <c:lblAlgn val="ctr"/>
        <c:lblOffset val="100"/>
        <c:noMultiLvlLbl val="0"/>
      </c:catAx>
      <c:valAx>
        <c:axId val="1072842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284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43437887911069939"/>
          <c:y val="6.3437139561707032E-2"/>
          <c:w val="0.5185622973598889"/>
          <c:h val="0.8731257208765859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model_data!$B$17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BC-4246-8BE1-81643E7AF20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BC-4246-8BE1-81643E7AF20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BC-4246-8BE1-81643E7AF20C}"/>
              </c:ext>
            </c:extLst>
          </c:dPt>
          <c:dPt>
            <c:idx val="3"/>
            <c:invertIfNegative val="0"/>
            <c:bubble3D val="0"/>
            <c:spPr>
              <a:solidFill>
                <a:srgbClr val="196B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BC-4246-8BE1-81643E7AF20C}"/>
              </c:ext>
            </c:extLst>
          </c:dPt>
          <c:dPt>
            <c:idx val="4"/>
            <c:invertIfNegative val="0"/>
            <c:bubble3D val="0"/>
            <c:spPr>
              <a:solidFill>
                <a:srgbClr val="196B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BC-4246-8BE1-81643E7AF20C}"/>
              </c:ext>
            </c:extLst>
          </c:dPt>
          <c:dPt>
            <c:idx val="5"/>
            <c:invertIfNegative val="0"/>
            <c:bubble3D val="0"/>
            <c:spPr>
              <a:solidFill>
                <a:srgbClr val="196B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BBC-4246-8BE1-81643E7AF2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model_data!$A$18:$A$23</c:f>
              <c:strCache>
                <c:ptCount val="6"/>
                <c:pt idx="0">
                  <c:v>fertilizer_code__P_KMg &gt; 0.00</c:v>
                </c:pt>
                <c:pt idx="1">
                  <c:v>dry_matter &lt;= 22.80</c:v>
                </c:pt>
                <c:pt idx="2">
                  <c:v>fertilizer_code_FYM_N3 &lt;= 0.00</c:v>
                </c:pt>
                <c:pt idx="3">
                  <c:v>fertilizer_code_N4PMg &lt;= 0.00</c:v>
                </c:pt>
                <c:pt idx="4">
                  <c:v>fertilizer_code_N4 &lt;= 0.00</c:v>
                </c:pt>
                <c:pt idx="5">
                  <c:v>fertilizer_code_Nil &lt;= 0.00</c:v>
                </c:pt>
              </c:strCache>
            </c:strRef>
          </c:cat>
          <c:val>
            <c:numRef>
              <c:f>model_data!$B$18:$B$23</c:f>
              <c:numCache>
                <c:formatCode>General</c:formatCode>
                <c:ptCount val="6"/>
                <c:pt idx="0">
                  <c:v>-4.1900000000000004</c:v>
                </c:pt>
                <c:pt idx="1">
                  <c:v>-2.92</c:v>
                </c:pt>
                <c:pt idx="2">
                  <c:v>-2.78</c:v>
                </c:pt>
                <c:pt idx="3">
                  <c:v>2.52</c:v>
                </c:pt>
                <c:pt idx="4">
                  <c:v>3.96</c:v>
                </c:pt>
                <c:pt idx="5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BC-4246-8BE1-81643E7AF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1072841663"/>
        <c:axId val="1072842143"/>
      </c:barChart>
      <c:catAx>
        <c:axId val="107284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842143"/>
        <c:crosses val="autoZero"/>
        <c:auto val="1"/>
        <c:lblAlgn val="ctr"/>
        <c:lblOffset val="100"/>
        <c:noMultiLvlLbl val="0"/>
      </c:catAx>
      <c:valAx>
        <c:axId val="1072842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284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0315745620893861"/>
          <c:y val="7.0648683365446371E-2"/>
          <c:w val="0.55366804029785155"/>
          <c:h val="0.858702633269107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model_data!$F$1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93E-4AF3-83B5-BB4C1971E3AC}"/>
              </c:ext>
            </c:extLst>
          </c:dPt>
          <c:dPt>
            <c:idx val="1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93E-4AF3-83B5-BB4C1971E3AC}"/>
              </c:ext>
            </c:extLst>
          </c:dPt>
          <c:dPt>
            <c:idx val="2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3E-4AF3-83B5-BB4C1971E3AC}"/>
              </c:ext>
            </c:extLst>
          </c:dPt>
          <c:dPt>
            <c:idx val="3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93E-4AF3-83B5-BB4C1971E3AC}"/>
              </c:ext>
            </c:extLst>
          </c:dPt>
          <c:dPt>
            <c:idx val="4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3E-4AF3-83B5-BB4C1971E3AC}"/>
              </c:ext>
            </c:extLst>
          </c:dPt>
          <c:dPt>
            <c:idx val="5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3E-4AF3-83B5-BB4C1971E3AC}"/>
              </c:ext>
            </c:extLst>
          </c:dPt>
          <c:dPt>
            <c:idx val="6"/>
            <c:invertIfNegative val="0"/>
            <c:bubble3D val="0"/>
            <c:spPr>
              <a:solidFill>
                <a:srgbClr val="EAE9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3E-4AF3-83B5-BB4C1971E3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model_data!$E$2:$E$11</c:f>
              <c:strCache>
                <c:ptCount val="10"/>
                <c:pt idx="0">
                  <c:v>fertilizer_code_N1_P_KMg</c:v>
                </c:pt>
                <c:pt idx="1">
                  <c:v>fertilizer_code_FYM_N3</c:v>
                </c:pt>
                <c:pt idx="2">
                  <c:v>fertilizer_code_N1_1_1_KMg</c:v>
                </c:pt>
                <c:pt idx="3">
                  <c:v>fertilizer_code_N4</c:v>
                </c:pt>
                <c:pt idx="4">
                  <c:v>solar_radiation</c:v>
                </c:pt>
                <c:pt idx="5">
                  <c:v>fertilizer_code__P_KMg</c:v>
                </c:pt>
                <c:pt idx="6">
                  <c:v>fertilizer_code_Nil</c:v>
                </c:pt>
                <c:pt idx="7">
                  <c:v>temperature</c:v>
                </c:pt>
                <c:pt idx="8">
                  <c:v>precipitation</c:v>
                </c:pt>
                <c:pt idx="9">
                  <c:v>dry_matter</c:v>
                </c:pt>
              </c:strCache>
            </c:strRef>
          </c:cat>
          <c:val>
            <c:numRef>
              <c:f>model_data!$F$2:$F$11</c:f>
              <c:numCache>
                <c:formatCode>0.00</c:formatCode>
                <c:ptCount val="10"/>
                <c:pt idx="0">
                  <c:v>0.16530900000000001</c:v>
                </c:pt>
                <c:pt idx="1">
                  <c:v>0.186803</c:v>
                </c:pt>
                <c:pt idx="2">
                  <c:v>0.22351599999999999</c:v>
                </c:pt>
                <c:pt idx="3">
                  <c:v>0.28776000000000002</c:v>
                </c:pt>
                <c:pt idx="4">
                  <c:v>0.35055500000000001</c:v>
                </c:pt>
                <c:pt idx="5">
                  <c:v>0.38641900000000001</c:v>
                </c:pt>
                <c:pt idx="6">
                  <c:v>0.45161299999999999</c:v>
                </c:pt>
                <c:pt idx="7">
                  <c:v>0.45391599999999999</c:v>
                </c:pt>
                <c:pt idx="8">
                  <c:v>0.72661500000000001</c:v>
                </c:pt>
                <c:pt idx="9">
                  <c:v>1.7113929999999999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E-4AF3-83B5-BB4C1971E3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axId val="1252344687"/>
        <c:axId val="1252339887"/>
      </c:barChart>
      <c:catAx>
        <c:axId val="1252344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1"/>
                  <a:t>Features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339887"/>
        <c:crosses val="autoZero"/>
        <c:auto val="1"/>
        <c:lblAlgn val="ctr"/>
        <c:lblOffset val="100"/>
        <c:noMultiLvlLbl val="0"/>
      </c:catAx>
      <c:valAx>
        <c:axId val="1252339887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25234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60960</xdr:rowOff>
    </xdr:from>
    <xdr:to>
      <xdr:col>22</xdr:col>
      <xdr:colOff>125730</xdr:colOff>
      <xdr:row>36</xdr:row>
      <xdr:rowOff>72390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73E6EDD-34F2-A824-A57B-1EB9F894A3E1}"/>
            </a:ext>
          </a:extLst>
        </xdr:cNvPr>
        <xdr:cNvSpPr/>
      </xdr:nvSpPr>
      <xdr:spPr>
        <a:xfrm>
          <a:off x="129540" y="60960"/>
          <a:ext cx="14077950" cy="6595110"/>
        </a:xfrm>
        <a:prstGeom prst="roundRect">
          <a:avLst>
            <a:gd name="adj" fmla="val 1531"/>
          </a:avLst>
        </a:prstGeom>
        <a:solidFill>
          <a:srgbClr val="EAE9E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251460</xdr:colOff>
      <xdr:row>3</xdr:row>
      <xdr:rowOff>50164</xdr:rowOff>
    </xdr:from>
    <xdr:to>
      <xdr:col>4</xdr:col>
      <xdr:colOff>72390</xdr:colOff>
      <xdr:row>8</xdr:row>
      <xdr:rowOff>118109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C6D6F2-A5F5-49E7-D023-08EA4CE90EBA}"/>
            </a:ext>
          </a:extLst>
        </xdr:cNvPr>
        <xdr:cNvSpPr/>
      </xdr:nvSpPr>
      <xdr:spPr>
        <a:xfrm>
          <a:off x="251460" y="598804"/>
          <a:ext cx="2381250" cy="982345"/>
        </a:xfrm>
        <a:prstGeom prst="roundRect">
          <a:avLst>
            <a:gd name="adj" fmla="val 880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506730</xdr:colOff>
      <xdr:row>5</xdr:row>
      <xdr:rowOff>70908</xdr:rowOff>
    </xdr:from>
    <xdr:to>
      <xdr:col>3</xdr:col>
      <xdr:colOff>464820</xdr:colOff>
      <xdr:row>7</xdr:row>
      <xdr:rowOff>133350</xdr:rowOff>
    </xdr:to>
    <xdr:sp macro="" textlink="Max_Acual_Yield">
      <xdr:nvSpPr>
        <xdr:cNvPr id="4" name="TextBox 3">
          <a:extLst>
            <a:ext uri="{FF2B5EF4-FFF2-40B4-BE49-F238E27FC236}">
              <a16:creationId xmlns:a16="http://schemas.microsoft.com/office/drawing/2014/main" id="{30521090-5AC1-646C-B8F7-0BDB8A242DAF}"/>
            </a:ext>
          </a:extLst>
        </xdr:cNvPr>
        <xdr:cNvSpPr txBox="1"/>
      </xdr:nvSpPr>
      <xdr:spPr>
        <a:xfrm>
          <a:off x="506730" y="985308"/>
          <a:ext cx="1878330" cy="428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DDE50C4-4E83-4CF6-8340-C08B9A7D17A8}" type="TxLink">
            <a:rPr lang="en-US" sz="2800" b="1" i="0" u="none" strike="noStrike">
              <a:solidFill>
                <a:schemeClr val="tx1"/>
              </a:solidFill>
              <a:latin typeface="Aptos Narrow"/>
            </a:rPr>
            <a:pPr algn="ctr"/>
            <a:t>23.13</a:t>
          </a:fld>
          <a:endParaRPr lang="en-US" sz="2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297180</xdr:colOff>
      <xdr:row>4</xdr:row>
      <xdr:rowOff>53340</xdr:rowOff>
    </xdr:from>
    <xdr:to>
      <xdr:col>3</xdr:col>
      <xdr:colOff>76200</xdr:colOff>
      <xdr:row>5</xdr:row>
      <xdr:rowOff>64770</xdr:rowOff>
    </xdr:to>
    <xdr:sp macro="" textlink="Max_Acual_Yield">
      <xdr:nvSpPr>
        <xdr:cNvPr id="5" name="TextBox 4">
          <a:extLst>
            <a:ext uri="{FF2B5EF4-FFF2-40B4-BE49-F238E27FC236}">
              <a16:creationId xmlns:a16="http://schemas.microsoft.com/office/drawing/2014/main" id="{81922097-1A9C-4B5E-91D9-D9B1CF5225BB}"/>
            </a:ext>
          </a:extLst>
        </xdr:cNvPr>
        <xdr:cNvSpPr txBox="1"/>
      </xdr:nvSpPr>
      <xdr:spPr>
        <a:xfrm>
          <a:off x="937260" y="784860"/>
          <a:ext cx="1059180" cy="194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 i="1">
              <a:solidFill>
                <a:schemeClr val="tx1"/>
              </a:solidFill>
            </a:rPr>
            <a:t>Max</a:t>
          </a:r>
          <a:r>
            <a:rPr lang="en-US" sz="900" b="1" i="1" baseline="0">
              <a:solidFill>
                <a:schemeClr val="tx1"/>
              </a:solidFill>
            </a:rPr>
            <a:t> Actual Yield</a:t>
          </a:r>
          <a:endParaRPr lang="en-US" sz="9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169545</xdr:colOff>
      <xdr:row>3</xdr:row>
      <xdr:rowOff>61594</xdr:rowOff>
    </xdr:from>
    <xdr:to>
      <xdr:col>7</xdr:col>
      <xdr:colOff>630555</xdr:colOff>
      <xdr:row>8</xdr:row>
      <xdr:rowOff>129539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8D37000-BD0F-4B38-A479-463E4F8E87B1}"/>
            </a:ext>
          </a:extLst>
        </xdr:cNvPr>
        <xdr:cNvSpPr/>
      </xdr:nvSpPr>
      <xdr:spPr>
        <a:xfrm>
          <a:off x="2729865" y="610234"/>
          <a:ext cx="2381250" cy="982345"/>
        </a:xfrm>
        <a:prstGeom prst="roundRect">
          <a:avLst>
            <a:gd name="adj" fmla="val 880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415290</xdr:colOff>
      <xdr:row>5</xdr:row>
      <xdr:rowOff>82338</xdr:rowOff>
    </xdr:from>
    <xdr:to>
      <xdr:col>7</xdr:col>
      <xdr:colOff>373380</xdr:colOff>
      <xdr:row>7</xdr:row>
      <xdr:rowOff>144780</xdr:rowOff>
    </xdr:to>
    <xdr:sp macro="" textlink="Avg_Actual_Yield">
      <xdr:nvSpPr>
        <xdr:cNvPr id="7" name="TextBox 6">
          <a:extLst>
            <a:ext uri="{FF2B5EF4-FFF2-40B4-BE49-F238E27FC236}">
              <a16:creationId xmlns:a16="http://schemas.microsoft.com/office/drawing/2014/main" id="{8D9C5502-5B2C-4414-9DB1-FEA2139F43EF}"/>
            </a:ext>
          </a:extLst>
        </xdr:cNvPr>
        <xdr:cNvSpPr txBox="1"/>
      </xdr:nvSpPr>
      <xdr:spPr>
        <a:xfrm>
          <a:off x="2975610" y="996738"/>
          <a:ext cx="1878330" cy="428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5D7E915-05B8-4B27-B7C5-BB722FFE4971}" type="TxLink">
            <a:rPr lang="en-US" sz="2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pPr marL="0" indent="0" algn="ctr"/>
            <a:t>9.00</a:t>
          </a:fld>
          <a:endParaRPr lang="en-US" sz="2800" b="1" i="0" u="none" strike="noStrike">
            <a:solidFill>
              <a:schemeClr val="tx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205740</xdr:colOff>
      <xdr:row>4</xdr:row>
      <xdr:rowOff>64770</xdr:rowOff>
    </xdr:from>
    <xdr:to>
      <xdr:col>6</xdr:col>
      <xdr:colOff>624840</xdr:colOff>
      <xdr:row>5</xdr:row>
      <xdr:rowOff>76200</xdr:rowOff>
    </xdr:to>
    <xdr:sp macro="" textlink="Max_Acual_Yield">
      <xdr:nvSpPr>
        <xdr:cNvPr id="8" name="TextBox 7">
          <a:extLst>
            <a:ext uri="{FF2B5EF4-FFF2-40B4-BE49-F238E27FC236}">
              <a16:creationId xmlns:a16="http://schemas.microsoft.com/office/drawing/2014/main" id="{645F2EDA-AA37-46EE-938E-0CA1305B67FC}"/>
            </a:ext>
          </a:extLst>
        </xdr:cNvPr>
        <xdr:cNvSpPr txBox="1"/>
      </xdr:nvSpPr>
      <xdr:spPr>
        <a:xfrm>
          <a:off x="3406140" y="796290"/>
          <a:ext cx="1059180" cy="194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 i="1" baseline="0">
              <a:solidFill>
                <a:schemeClr val="tx1"/>
              </a:solidFill>
            </a:rPr>
            <a:t>Avg Actual Yield</a:t>
          </a:r>
          <a:endParaRPr lang="en-US" sz="9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80010</xdr:colOff>
      <xdr:row>3</xdr:row>
      <xdr:rowOff>65404</xdr:rowOff>
    </xdr:from>
    <xdr:to>
      <xdr:col>11</xdr:col>
      <xdr:colOff>541020</xdr:colOff>
      <xdr:row>8</xdr:row>
      <xdr:rowOff>133349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5184117-0625-4300-B4D9-EB87F654D06D}"/>
            </a:ext>
          </a:extLst>
        </xdr:cNvPr>
        <xdr:cNvSpPr/>
      </xdr:nvSpPr>
      <xdr:spPr>
        <a:xfrm>
          <a:off x="5200650" y="614044"/>
          <a:ext cx="2381250" cy="982345"/>
        </a:xfrm>
        <a:prstGeom prst="roundRect">
          <a:avLst>
            <a:gd name="adj" fmla="val 8802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308610</xdr:colOff>
      <xdr:row>5</xdr:row>
      <xdr:rowOff>86148</xdr:rowOff>
    </xdr:from>
    <xdr:to>
      <xdr:col>11</xdr:col>
      <xdr:colOff>266700</xdr:colOff>
      <xdr:row>7</xdr:row>
      <xdr:rowOff>148590</xdr:rowOff>
    </xdr:to>
    <xdr:sp macro="" textlink="Avg_Predicted_Yield">
      <xdr:nvSpPr>
        <xdr:cNvPr id="10" name="TextBox 9">
          <a:extLst>
            <a:ext uri="{FF2B5EF4-FFF2-40B4-BE49-F238E27FC236}">
              <a16:creationId xmlns:a16="http://schemas.microsoft.com/office/drawing/2014/main" id="{003B4DEC-10A4-42A0-B205-BE1F1CFC9303}"/>
            </a:ext>
          </a:extLst>
        </xdr:cNvPr>
        <xdr:cNvSpPr txBox="1"/>
      </xdr:nvSpPr>
      <xdr:spPr>
        <a:xfrm>
          <a:off x="5429250" y="1000548"/>
          <a:ext cx="1878330" cy="428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173FDB0-0562-4CAF-9B0F-A0ADCF401576}" type="TxLink">
            <a:rPr lang="en-US" sz="2800" b="1" i="0" u="none" strike="noStrike">
              <a:solidFill>
                <a:schemeClr val="tx1"/>
              </a:solidFill>
              <a:latin typeface="Aptos Narrow"/>
              <a:ea typeface="+mn-ea"/>
              <a:cs typeface="+mn-cs"/>
            </a:rPr>
            <a:pPr marL="0" indent="0" algn="ctr"/>
            <a:t>8.9</a:t>
          </a:fld>
          <a:endParaRPr lang="en-US" sz="2800" b="1" i="0" u="none" strike="noStrike">
            <a:solidFill>
              <a:schemeClr val="tx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556260</xdr:colOff>
      <xdr:row>4</xdr:row>
      <xdr:rowOff>68156</xdr:rowOff>
    </xdr:from>
    <xdr:to>
      <xdr:col>11</xdr:col>
      <xdr:colOff>125730</xdr:colOff>
      <xdr:row>5</xdr:row>
      <xdr:rowOff>72389</xdr:rowOff>
    </xdr:to>
    <xdr:sp macro="" textlink="Max_Acual_Yield">
      <xdr:nvSpPr>
        <xdr:cNvPr id="11" name="TextBox 10">
          <a:extLst>
            <a:ext uri="{FF2B5EF4-FFF2-40B4-BE49-F238E27FC236}">
              <a16:creationId xmlns:a16="http://schemas.microsoft.com/office/drawing/2014/main" id="{E90DE39D-CB24-47F7-8C4F-7C17E65F46AA}"/>
            </a:ext>
          </a:extLst>
        </xdr:cNvPr>
        <xdr:cNvSpPr txBox="1"/>
      </xdr:nvSpPr>
      <xdr:spPr>
        <a:xfrm>
          <a:off x="5676900" y="799676"/>
          <a:ext cx="1489710" cy="187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 i="1" baseline="0">
              <a:solidFill>
                <a:schemeClr val="tx1"/>
              </a:solidFill>
            </a:rPr>
            <a:t>Avg Predicted Yield</a:t>
          </a:r>
          <a:endParaRPr lang="en-US" sz="9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259080</xdr:colOff>
      <xdr:row>9</xdr:row>
      <xdr:rowOff>15240</xdr:rowOff>
    </xdr:from>
    <xdr:to>
      <xdr:col>5</xdr:col>
      <xdr:colOff>449580</xdr:colOff>
      <xdr:row>22</xdr:row>
      <xdr:rowOff>42672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4D53CE5-8A8B-6969-53F8-308A332905AE}"/>
            </a:ext>
          </a:extLst>
        </xdr:cNvPr>
        <xdr:cNvSpPr/>
      </xdr:nvSpPr>
      <xdr:spPr>
        <a:xfrm>
          <a:off x="259080" y="1661160"/>
          <a:ext cx="3390900" cy="2404872"/>
        </a:xfrm>
        <a:prstGeom prst="roundRect">
          <a:avLst>
            <a:gd name="adj" fmla="val 235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327660</xdr:colOff>
      <xdr:row>11</xdr:row>
      <xdr:rowOff>129540</xdr:rowOff>
    </xdr:from>
    <xdr:to>
      <xdr:col>5</xdr:col>
      <xdr:colOff>381000</xdr:colOff>
      <xdr:row>21</xdr:row>
      <xdr:rowOff>137160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D3B8B89-3B97-462F-9999-66D8DBFB3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562864</xdr:colOff>
      <xdr:row>9</xdr:row>
      <xdr:rowOff>15240</xdr:rowOff>
    </xdr:from>
    <xdr:to>
      <xdr:col>11</xdr:col>
      <xdr:colOff>114808</xdr:colOff>
      <xdr:row>22</xdr:row>
      <xdr:rowOff>42672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54B56FA-90C2-4BFC-A031-1DFE525A4426}"/>
            </a:ext>
          </a:extLst>
        </xdr:cNvPr>
        <xdr:cNvSpPr/>
      </xdr:nvSpPr>
      <xdr:spPr>
        <a:xfrm>
          <a:off x="3763264" y="1661160"/>
          <a:ext cx="3392424" cy="2404872"/>
        </a:xfrm>
        <a:prstGeom prst="roundRect">
          <a:avLst>
            <a:gd name="adj" fmla="val 235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628650</xdr:colOff>
      <xdr:row>11</xdr:row>
      <xdr:rowOff>114300</xdr:rowOff>
    </xdr:from>
    <xdr:to>
      <xdr:col>10</xdr:col>
      <xdr:colOff>590550</xdr:colOff>
      <xdr:row>21</xdr:row>
      <xdr:rowOff>156210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2FD03A8-7B2B-4F44-A157-74CE915F6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204724</xdr:colOff>
      <xdr:row>9</xdr:row>
      <xdr:rowOff>15240</xdr:rowOff>
    </xdr:from>
    <xdr:to>
      <xdr:col>16</xdr:col>
      <xdr:colOff>396748</xdr:colOff>
      <xdr:row>22</xdr:row>
      <xdr:rowOff>42672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02572AC-D0BA-4492-9CF1-1AA0F5864AE9}"/>
            </a:ext>
          </a:extLst>
        </xdr:cNvPr>
        <xdr:cNvSpPr/>
      </xdr:nvSpPr>
      <xdr:spPr>
        <a:xfrm>
          <a:off x="7245604" y="1661160"/>
          <a:ext cx="3392424" cy="2404872"/>
        </a:xfrm>
        <a:prstGeom prst="roundRect">
          <a:avLst>
            <a:gd name="adj" fmla="val 235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255270</xdr:colOff>
      <xdr:row>11</xdr:row>
      <xdr:rowOff>80010</xdr:rowOff>
    </xdr:from>
    <xdr:to>
      <xdr:col>16</xdr:col>
      <xdr:colOff>270510</xdr:colOff>
      <xdr:row>21</xdr:row>
      <xdr:rowOff>156210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8613786-F4E2-4208-A394-42102ED4B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502920</xdr:colOff>
      <xdr:row>9</xdr:row>
      <xdr:rowOff>15240</xdr:rowOff>
    </xdr:from>
    <xdr:to>
      <xdr:col>22</xdr:col>
      <xdr:colOff>54864</xdr:colOff>
      <xdr:row>22</xdr:row>
      <xdr:rowOff>42672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8C2A4F9-B5CD-4075-B530-4D13AC9B7775}"/>
            </a:ext>
          </a:extLst>
        </xdr:cNvPr>
        <xdr:cNvSpPr/>
      </xdr:nvSpPr>
      <xdr:spPr>
        <a:xfrm>
          <a:off x="10744200" y="1661160"/>
          <a:ext cx="3392424" cy="2404872"/>
        </a:xfrm>
        <a:prstGeom prst="roundRect">
          <a:avLst>
            <a:gd name="adj" fmla="val 235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579120</xdr:colOff>
      <xdr:row>11</xdr:row>
      <xdr:rowOff>19050</xdr:rowOff>
    </xdr:from>
    <xdr:to>
      <xdr:col>21</xdr:col>
      <xdr:colOff>601980</xdr:colOff>
      <xdr:row>22</xdr:row>
      <xdr:rowOff>11430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017D84D-15BD-4028-8060-84CAE6174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259080</xdr:colOff>
      <xdr:row>22</xdr:row>
      <xdr:rowOff>160020</xdr:rowOff>
    </xdr:from>
    <xdr:to>
      <xdr:col>5</xdr:col>
      <xdr:colOff>449580</xdr:colOff>
      <xdr:row>36</xdr:row>
      <xdr:rowOff>7620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F202E6C-DBEF-477B-9A5F-41191F8A8D8C}"/>
            </a:ext>
          </a:extLst>
        </xdr:cNvPr>
        <xdr:cNvSpPr/>
      </xdr:nvSpPr>
      <xdr:spPr>
        <a:xfrm>
          <a:off x="259080" y="4183380"/>
          <a:ext cx="3390900" cy="2407920"/>
        </a:xfrm>
        <a:prstGeom prst="roundRect">
          <a:avLst>
            <a:gd name="adj" fmla="val 235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320040</xdr:colOff>
      <xdr:row>25</xdr:row>
      <xdr:rowOff>7620</xdr:rowOff>
    </xdr:from>
    <xdr:to>
      <xdr:col>5</xdr:col>
      <xdr:colOff>358140</xdr:colOff>
      <xdr:row>35</xdr:row>
      <xdr:rowOff>99060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27D4377-70BA-438D-8D04-DC7298B39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562864</xdr:colOff>
      <xdr:row>22</xdr:row>
      <xdr:rowOff>163830</xdr:rowOff>
    </xdr:from>
    <xdr:to>
      <xdr:col>11</xdr:col>
      <xdr:colOff>113284</xdr:colOff>
      <xdr:row>36</xdr:row>
      <xdr:rowOff>7620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96D0FC42-6E2F-46B6-8CB4-6FA6F871D974}"/>
            </a:ext>
          </a:extLst>
        </xdr:cNvPr>
        <xdr:cNvSpPr/>
      </xdr:nvSpPr>
      <xdr:spPr>
        <a:xfrm>
          <a:off x="3763264" y="4187190"/>
          <a:ext cx="3390900" cy="2404110"/>
        </a:xfrm>
        <a:prstGeom prst="roundRect">
          <a:avLst>
            <a:gd name="adj" fmla="val 235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</xdr:colOff>
      <xdr:row>25</xdr:row>
      <xdr:rowOff>0</xdr:rowOff>
    </xdr:from>
    <xdr:to>
      <xdr:col>11</xdr:col>
      <xdr:colOff>49530</xdr:colOff>
      <xdr:row>35</xdr:row>
      <xdr:rowOff>99060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E62A8C4-B0BD-46B7-8842-CE7C5B464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499110</xdr:colOff>
      <xdr:row>9</xdr:row>
      <xdr:rowOff>95250</xdr:rowOff>
    </xdr:from>
    <xdr:to>
      <xdr:col>5</xdr:col>
      <xdr:colOff>392430</xdr:colOff>
      <xdr:row>10</xdr:row>
      <xdr:rowOff>144780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77010EB-4836-EF21-F6A4-FE20F1DC7EC9}"/>
            </a:ext>
          </a:extLst>
        </xdr:cNvPr>
        <xdr:cNvSpPr txBox="1"/>
      </xdr:nvSpPr>
      <xdr:spPr>
        <a:xfrm>
          <a:off x="499110" y="1741170"/>
          <a:ext cx="309372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 i="1"/>
            <a:t>Actual Yield and Predicted Yield Relationhip</a:t>
          </a:r>
        </a:p>
      </xdr:txBody>
    </xdr:sp>
    <xdr:clientData/>
  </xdr:twoCellAnchor>
  <xdr:twoCellAnchor>
    <xdr:from>
      <xdr:col>6</xdr:col>
      <xdr:colOff>91440</xdr:colOff>
      <xdr:row>9</xdr:row>
      <xdr:rowOff>95250</xdr:rowOff>
    </xdr:from>
    <xdr:to>
      <xdr:col>10</xdr:col>
      <xdr:colOff>624840</xdr:colOff>
      <xdr:row>10</xdr:row>
      <xdr:rowOff>144780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81F3AE3-BBB4-420E-9922-0F8037014CDF}"/>
            </a:ext>
          </a:extLst>
        </xdr:cNvPr>
        <xdr:cNvSpPr txBox="1"/>
      </xdr:nvSpPr>
      <xdr:spPr>
        <a:xfrm>
          <a:off x="3931920" y="1741170"/>
          <a:ext cx="309372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="1" i="1"/>
            <a:t>Adjusted</a:t>
          </a:r>
          <a:r>
            <a:rPr lang="en-US" sz="900" b="1" i="1" baseline="0"/>
            <a:t> R</a:t>
          </a:r>
          <a:r>
            <a:rPr lang="en-US" sz="900" b="1" i="1" baseline="30000"/>
            <a:t>2 </a:t>
          </a:r>
          <a:r>
            <a:rPr lang="en-US" sz="900" b="1" i="1" baseline="0"/>
            <a:t> and Root Mean Square Error</a:t>
          </a:r>
          <a:endParaRPr lang="en-US" sz="900" b="1" i="1" baseline="30000"/>
        </a:p>
      </xdr:txBody>
    </xdr:sp>
    <xdr:clientData/>
  </xdr:twoCellAnchor>
  <xdr:twoCellAnchor>
    <xdr:from>
      <xdr:col>11</xdr:col>
      <xdr:colOff>323850</xdr:colOff>
      <xdr:row>9</xdr:row>
      <xdr:rowOff>95250</xdr:rowOff>
    </xdr:from>
    <xdr:to>
      <xdr:col>16</xdr:col>
      <xdr:colOff>217170</xdr:colOff>
      <xdr:row>10</xdr:row>
      <xdr:rowOff>144780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BE8E755-F630-4709-93C9-E87739DDDE2E}"/>
            </a:ext>
          </a:extLst>
        </xdr:cNvPr>
        <xdr:cNvSpPr txBox="1"/>
      </xdr:nvSpPr>
      <xdr:spPr>
        <a:xfrm>
          <a:off x="7364730" y="1741170"/>
          <a:ext cx="309372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 i="1"/>
            <a:t>Fertilizer_Code and Actual_Yield Comparison</a:t>
          </a:r>
          <a:endParaRPr lang="en-US" sz="800" b="1" i="1" baseline="30000"/>
        </a:p>
      </xdr:txBody>
    </xdr:sp>
    <xdr:clientData/>
  </xdr:twoCellAnchor>
  <xdr:twoCellAnchor>
    <xdr:from>
      <xdr:col>16</xdr:col>
      <xdr:colOff>556260</xdr:colOff>
      <xdr:row>9</xdr:row>
      <xdr:rowOff>95250</xdr:rowOff>
    </xdr:from>
    <xdr:to>
      <xdr:col>21</xdr:col>
      <xdr:colOff>449580</xdr:colOff>
      <xdr:row>10</xdr:row>
      <xdr:rowOff>144780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6FA8195-D1D7-44D6-83FB-5C137130B81F}"/>
            </a:ext>
          </a:extLst>
        </xdr:cNvPr>
        <xdr:cNvSpPr txBox="1"/>
      </xdr:nvSpPr>
      <xdr:spPr>
        <a:xfrm>
          <a:off x="10797540" y="1741170"/>
          <a:ext cx="309372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 i="1" baseline="0"/>
            <a:t>Average Yield Prediction (XGBoost)</a:t>
          </a:r>
          <a:endParaRPr lang="en-US" sz="800" b="1" i="1" baseline="30000"/>
        </a:p>
      </xdr:txBody>
    </xdr:sp>
    <xdr:clientData/>
  </xdr:twoCellAnchor>
  <xdr:twoCellAnchor>
    <xdr:from>
      <xdr:col>0</xdr:col>
      <xdr:colOff>289560</xdr:colOff>
      <xdr:row>23</xdr:row>
      <xdr:rowOff>83820</xdr:rowOff>
    </xdr:from>
    <xdr:to>
      <xdr:col>5</xdr:col>
      <xdr:colOff>182880</xdr:colOff>
      <xdr:row>24</xdr:row>
      <xdr:rowOff>133350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0BBBC36-571F-4762-9B46-D78061CA51E6}"/>
            </a:ext>
          </a:extLst>
        </xdr:cNvPr>
        <xdr:cNvSpPr txBox="1"/>
      </xdr:nvSpPr>
      <xdr:spPr>
        <a:xfrm>
          <a:off x="289560" y="4290060"/>
          <a:ext cx="309372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 i="1" baseline="0"/>
            <a:t>High Yield Prediction (XGBoost)</a:t>
          </a:r>
          <a:endParaRPr lang="en-US" sz="800" b="1" i="1" baseline="30000"/>
        </a:p>
      </xdr:txBody>
    </xdr:sp>
    <xdr:clientData/>
  </xdr:twoCellAnchor>
  <xdr:twoCellAnchor>
    <xdr:from>
      <xdr:col>5</xdr:col>
      <xdr:colOff>630555</xdr:colOff>
      <xdr:row>23</xdr:row>
      <xdr:rowOff>83820</xdr:rowOff>
    </xdr:from>
    <xdr:to>
      <xdr:col>10</xdr:col>
      <xdr:colOff>523875</xdr:colOff>
      <xdr:row>24</xdr:row>
      <xdr:rowOff>133350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E0FD9DA-21BD-4723-A040-A8F812B246DC}"/>
            </a:ext>
          </a:extLst>
        </xdr:cNvPr>
        <xdr:cNvSpPr txBox="1"/>
      </xdr:nvSpPr>
      <xdr:spPr>
        <a:xfrm>
          <a:off x="3830955" y="4290060"/>
          <a:ext cx="309372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 i="1" baseline="0"/>
            <a:t>Low Yield Prediction (XGBoost)</a:t>
          </a:r>
          <a:endParaRPr lang="en-US" sz="800" b="1" i="1" baseline="30000"/>
        </a:p>
      </xdr:txBody>
    </xdr:sp>
    <xdr:clientData/>
  </xdr:twoCellAnchor>
  <xdr:twoCellAnchor>
    <xdr:from>
      <xdr:col>0</xdr:col>
      <xdr:colOff>251460</xdr:colOff>
      <xdr:row>0</xdr:row>
      <xdr:rowOff>102870</xdr:rowOff>
    </xdr:from>
    <xdr:to>
      <xdr:col>22</xdr:col>
      <xdr:colOff>64770</xdr:colOff>
      <xdr:row>3</xdr:row>
      <xdr:rowOff>7620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3CC92FE-3909-8E4F-31CC-10148FA07E63}"/>
            </a:ext>
          </a:extLst>
        </xdr:cNvPr>
        <xdr:cNvSpPr txBox="1"/>
      </xdr:nvSpPr>
      <xdr:spPr>
        <a:xfrm>
          <a:off x="251460" y="102870"/>
          <a:ext cx="13895070" cy="453390"/>
        </a:xfrm>
        <a:prstGeom prst="rect">
          <a:avLst/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Explainable Maize Yield Prediction</a:t>
          </a:r>
          <a:r>
            <a:rPr lang="en-US" sz="2400" b="1" baseline="0">
              <a:solidFill>
                <a:schemeClr val="bg1"/>
              </a:solidFill>
            </a:rPr>
            <a:t> Dashboard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468630</xdr:colOff>
      <xdr:row>22</xdr:row>
      <xdr:rowOff>137160</xdr:rowOff>
    </xdr:from>
    <xdr:to>
      <xdr:col>22</xdr:col>
      <xdr:colOff>11938</xdr:colOff>
      <xdr:row>36</xdr:row>
      <xdr:rowOff>7620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5D7CA5BF-9AEE-44AB-9855-1D57E7C23E13}"/>
            </a:ext>
          </a:extLst>
        </xdr:cNvPr>
        <xdr:cNvSpPr/>
      </xdr:nvSpPr>
      <xdr:spPr>
        <a:xfrm>
          <a:off x="10709910" y="4160520"/>
          <a:ext cx="3383788" cy="2430780"/>
        </a:xfrm>
        <a:prstGeom prst="roundRect">
          <a:avLst>
            <a:gd name="adj" fmla="val 235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556260</xdr:colOff>
      <xdr:row>23</xdr:row>
      <xdr:rowOff>38100</xdr:rowOff>
    </xdr:from>
    <xdr:to>
      <xdr:col>21</xdr:col>
      <xdr:colOff>601980</xdr:colOff>
      <xdr:row>35</xdr:row>
      <xdr:rowOff>83820</xdr:rowOff>
    </xdr:to>
    <xdr:sp macro="" textlink="">
      <xdr:nvSpPr>
        <xdr:cNvPr id="31" name="TextBox 33">
          <a:extLst>
            <a:ext uri="{FF2B5EF4-FFF2-40B4-BE49-F238E27FC236}">
              <a16:creationId xmlns:a16="http://schemas.microsoft.com/office/drawing/2014/main" id="{044AD410-79D4-51A0-CCAA-ABE6EE702CFF}"/>
            </a:ext>
            <a:ext uri="{147F2762-F138-4A5C-976F-8EAC2B608ADB}">
              <a16:predDERef xmlns:a16="http://schemas.microsoft.com/office/drawing/2014/main" pred="{5D7CA5BF-9AEE-44AB-9855-1D57E7C23E13}"/>
            </a:ext>
          </a:extLst>
        </xdr:cNvPr>
        <xdr:cNvSpPr txBox="1"/>
      </xdr:nvSpPr>
      <xdr:spPr>
        <a:xfrm>
          <a:off x="10797540" y="4244340"/>
          <a:ext cx="3246120" cy="2240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="1">
              <a:solidFill>
                <a:srgbClr val="00B050"/>
              </a:solidFill>
              <a:latin typeface="+mn-lt"/>
              <a:ea typeface="+mn-lt"/>
              <a:cs typeface="+mn-lt"/>
            </a:rPr>
            <a:t>INSIGHTS</a:t>
          </a:r>
          <a:endParaRPr lang="en-US" sz="1000" b="1">
            <a:solidFill>
              <a:srgbClr val="00B05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.Farmers should prioritize FYM and NPK treatments,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as these showed better yield performance in the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analysis.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.Farmers should monitor temperature and rainfall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conditions to supprt better planting and crop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management decisions.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. Improving dry matter may increase productivity,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.The XGBoost model can be used as a decision-support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tool to estimate yield under ditferent environmental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and farming conditions.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.SHAP and LIME explanations can help farmers identity</a:t>
          </a:r>
        </a:p>
        <a:p>
          <a:pPr marL="0" indent="0" algn="l"/>
          <a:r>
            <a:rPr lang="en-US" sz="1000" b="1">
              <a:solidFill>
                <a:srgbClr val="00B050"/>
              </a:solidFill>
              <a:latin typeface="+mn-lt"/>
              <a:ea typeface="+mn-lt"/>
              <a:cs typeface="+mn-lt"/>
            </a:rPr>
            <a:t>which factors improving or reducing expected maize</a:t>
          </a:r>
        </a:p>
      </xdr:txBody>
    </xdr:sp>
    <xdr:clientData/>
  </xdr:twoCellAnchor>
  <xdr:twoCellAnchor>
    <xdr:from>
      <xdr:col>11</xdr:col>
      <xdr:colOff>204724</xdr:colOff>
      <xdr:row>22</xdr:row>
      <xdr:rowOff>163830</xdr:rowOff>
    </xdr:from>
    <xdr:to>
      <xdr:col>16</xdr:col>
      <xdr:colOff>395224</xdr:colOff>
      <xdr:row>36</xdr:row>
      <xdr:rowOff>7620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B3610194-8670-4D25-9CE5-DD4B38E2C9B3}"/>
            </a:ext>
          </a:extLst>
        </xdr:cNvPr>
        <xdr:cNvSpPr/>
      </xdr:nvSpPr>
      <xdr:spPr>
        <a:xfrm>
          <a:off x="7245604" y="4187190"/>
          <a:ext cx="3390900" cy="2404110"/>
        </a:xfrm>
        <a:prstGeom prst="roundRect">
          <a:avLst>
            <a:gd name="adj" fmla="val 235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299974</xdr:colOff>
      <xdr:row>25</xdr:row>
      <xdr:rowOff>15240</xdr:rowOff>
    </xdr:from>
    <xdr:to>
      <xdr:col>16</xdr:col>
      <xdr:colOff>335280</xdr:colOff>
      <xdr:row>35</xdr:row>
      <xdr:rowOff>163830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CE575A2-3FB8-47B8-BB1D-72A4B2EF0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331470</xdr:colOff>
      <xdr:row>23</xdr:row>
      <xdr:rowOff>83820</xdr:rowOff>
    </xdr:from>
    <xdr:to>
      <xdr:col>16</xdr:col>
      <xdr:colOff>224790</xdr:colOff>
      <xdr:row>24</xdr:row>
      <xdr:rowOff>133350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638E1ED-25A4-41B1-A485-5AF000E77B2E}"/>
            </a:ext>
          </a:extLst>
        </xdr:cNvPr>
        <xdr:cNvSpPr txBox="1"/>
      </xdr:nvSpPr>
      <xdr:spPr>
        <a:xfrm>
          <a:off x="7372350" y="4290060"/>
          <a:ext cx="309372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 i="1" baseline="0"/>
            <a:t>SHAP Feature Importance</a:t>
          </a:r>
          <a:endParaRPr lang="en-US" sz="800" b="1" i="1" baseline="30000"/>
        </a:p>
      </xdr:txBody>
    </xdr:sp>
    <xdr:clientData/>
  </xdr:twoCellAnchor>
  <xdr:twoCellAnchor>
    <xdr:from>
      <xdr:col>12</xdr:col>
      <xdr:colOff>161925</xdr:colOff>
      <xdr:row>3</xdr:row>
      <xdr:rowOff>114300</xdr:rowOff>
    </xdr:from>
    <xdr:to>
      <xdr:col>17</xdr:col>
      <xdr:colOff>342901</xdr:colOff>
      <xdr:row>8</xdr:row>
      <xdr:rowOff>104775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FD4AF84E-1A9B-21BD-C41F-7A77E572A980}"/>
            </a:ext>
          </a:extLst>
        </xdr:cNvPr>
        <xdr:cNvSpPr/>
      </xdr:nvSpPr>
      <xdr:spPr>
        <a:xfrm>
          <a:off x="7477125" y="685800"/>
          <a:ext cx="3228976" cy="942975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/>
            <a:t>ABBREVIATIONS</a:t>
          </a:r>
        </a:p>
        <a:p>
          <a:pPr algn="l"/>
          <a:r>
            <a:rPr lang="en-GB" sz="900" b="1"/>
            <a:t>FYM-Farm Yard Manure</a:t>
          </a:r>
        </a:p>
        <a:p>
          <a:pPr algn="l"/>
          <a:r>
            <a:rPr lang="en-GB" sz="900" b="1"/>
            <a:t>NIL-No</a:t>
          </a:r>
          <a:r>
            <a:rPr lang="en-GB" sz="900" b="1" baseline="0"/>
            <a:t> Fertilizer </a:t>
          </a:r>
        </a:p>
        <a:p>
          <a:pPr algn="l"/>
          <a:r>
            <a:rPr lang="en-GB" sz="900" b="1" baseline="0"/>
            <a:t>N-Nitrogen only</a:t>
          </a:r>
        </a:p>
        <a:p>
          <a:pPr algn="l"/>
          <a:r>
            <a:rPr lang="en-GB" sz="900" b="1" baseline="0"/>
            <a:t>PK-Phosphorus and Potassium</a:t>
          </a:r>
        </a:p>
        <a:p>
          <a:pPr algn="l"/>
          <a:r>
            <a:rPr lang="en-GB" sz="900" b="1" baseline="0"/>
            <a:t>MG</a:t>
          </a:r>
          <a:r>
            <a:rPr lang="en-GB" sz="900" b="1"/>
            <a:t> -Magnessium</a:t>
          </a:r>
        </a:p>
        <a:p>
          <a:pPr algn="l"/>
          <a:endParaRPr lang="en-GB" sz="1100"/>
        </a:p>
      </xdr:txBody>
    </xdr:sp>
    <xdr:clientData/>
  </xdr:twoCellAnchor>
  <xdr:oneCellAnchor>
    <xdr:from>
      <xdr:col>14</xdr:col>
      <xdr:colOff>257175</xdr:colOff>
      <xdr:row>6</xdr:row>
      <xdr:rowOff>9525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E54C4BD-4B97-1745-2A80-F4D7B4C71502}"/>
            </a:ext>
          </a:extLst>
        </xdr:cNvPr>
        <xdr:cNvSpPr txBox="1"/>
      </xdr:nvSpPr>
      <xdr:spPr>
        <a:xfrm>
          <a:off x="8791575" y="115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25</xdr:col>
      <xdr:colOff>323850</xdr:colOff>
      <xdr:row>13</xdr:row>
      <xdr:rowOff>95250</xdr:rowOff>
    </xdr:from>
    <xdr:to>
      <xdr:col>25</xdr:col>
      <xdr:colOff>369569</xdr:colOff>
      <xdr:row>13</xdr:row>
      <xdr:rowOff>140969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A2467B8-C427-48C8-9E8D-C6D642CCDDC9}"/>
            </a:ext>
          </a:extLst>
        </xdr:cNvPr>
        <xdr:cNvSpPr txBox="1"/>
      </xdr:nvSpPr>
      <xdr:spPr>
        <a:xfrm>
          <a:off x="15563850" y="2571750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essing Ajibokun" refreshedDate="46146.712159143521" createdVersion="8" refreshedVersion="8" minRefreshableVersion="3" recordCount="361" xr:uid="{E969B360-D21C-41BB-8ACA-8B8251BC598A}">
  <cacheSource type="worksheet">
    <worksheetSource ref="A1:G362" sheet="final_dataset_with_predictions"/>
  </cacheSource>
  <cacheFields count="8">
    <cacheField name="year" numFmtId="0">
      <sharedItems containsSemiMixedTypes="0" containsString="0" containsNumber="1" containsInteger="1" minValue="1997" maxValue="2017"/>
    </cacheField>
    <cacheField name="fertilizer_code" numFmtId="0">
      <sharedItems count="37">
        <s v="FYM N4 PK"/>
        <s v="FYM N2"/>
        <s v="FYM"/>
        <s v="Nil"/>
        <s v="PKMg"/>
        <s v="N1PKMg"/>
        <s v="N2PKMg"/>
        <s v="N3PKMg"/>
        <s v="N4PKMg"/>
        <s v="N2"/>
        <s v="N2P"/>
        <s v="N2PNa*"/>
        <s v="N2PK"/>
        <s v="N2PKMg*"/>
        <s v="N5PKMg"/>
        <s v="N6PKMg"/>
        <s v="N0+3 1/2[PKMg]"/>
        <s v="N1+3 1/2[PKMg]"/>
        <s v="(C) "/>
        <s v="(FYM) N4 "/>
        <s v="(P)KMg"/>
        <s v="N1(P)KMg"/>
        <s v="N2(P)KMg"/>
        <s v="N3(P)KMg"/>
        <s v="N4(P)KMg"/>
        <s v="N4"/>
        <s v="N4PMg"/>
        <s v="N1+3+1(P)K2Mg2"/>
        <s v="N4PK"/>
        <s v="N4PK*(Mg*)"/>
        <s v="N5(P)KMg"/>
        <s v="N6(P)KMg"/>
        <s v="N1+4+1 PKMg"/>
        <s v="N1+2+1 PKMg"/>
        <s v="N1+1+1 KMg"/>
        <s v="FYM N3"/>
        <s v="N1+3+1(P)KMg"/>
      </sharedItems>
    </cacheField>
    <cacheField name="dry_matter" numFmtId="0">
      <sharedItems containsSemiMixedTypes="0" containsString="0" containsNumber="1" minValue="16.8" maxValue="41.3"/>
    </cacheField>
    <cacheField name=" Actual Yield " numFmtId="0">
      <sharedItems containsSemiMixedTypes="0" containsString="0" containsNumber="1" minValue="0.57999999999999996" maxValue="23.13"/>
    </cacheField>
    <cacheField name="temperature" numFmtId="0">
      <sharedItems containsSemiMixedTypes="0" containsString="0" containsNumber="1" minValue="271.09802525339501" maxValue="287.35079577078199"/>
    </cacheField>
    <cacheField name="precipitation" numFmtId="0">
      <sharedItems containsSemiMixedTypes="0" containsString="0" containsNumber="1" minValue="350.02980124391598" maxValue="2371185242.5" count="19">
        <n v="408.052416518097"/>
        <n v="414.80401429533902"/>
        <n v="428.73321255668998"/>
        <n v="404.85858127660998"/>
        <n v="369.19793283077797"/>
        <n v="396.504545263946"/>
        <n v="360.845110476017"/>
        <n v="432.22892597527198"/>
        <n v="388.64439420401999"/>
        <n v="399.16136549832299"/>
        <n v="2371185242.5"/>
        <n v="447.14112894050697"/>
        <n v="454.27107968181298"/>
        <n v="519.536461092531"/>
        <n v="350.02980124391598"/>
        <n v="390.67958302050801"/>
        <n v="440.905763949267"/>
        <n v="414.72160359658301"/>
        <n v="484.60988227278"/>
      </sharedItems>
    </cacheField>
    <cacheField name="solar_radiation" numFmtId="0">
      <sharedItems containsSemiMixedTypes="0" containsString="0" containsNumber="1" minValue="15079114.0392156" maxValue="16407922.356209099"/>
    </cacheField>
    <cacheField name="predicted_yield" numFmtId="0">
      <sharedItems containsSemiMixedTypes="0" containsString="0" containsNumber="1" minValue="0.55803119999999995" maxValue="22.666202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n v="1997"/>
    <x v="0"/>
    <n v="36.700000000000003"/>
    <n v="16.36"/>
    <n v="286.63785597857299"/>
    <x v="0"/>
    <n v="16169909.0424836"/>
    <n v="16.554327000000001"/>
  </r>
  <r>
    <n v="1997"/>
    <x v="1"/>
    <n v="35.799999999999997"/>
    <n v="17.45"/>
    <n v="286.63785597857299"/>
    <x v="0"/>
    <n v="16169909.0424836"/>
    <n v="17.436323000000002"/>
  </r>
  <r>
    <n v="1997"/>
    <x v="2"/>
    <n v="37.4"/>
    <n v="17.53"/>
    <n v="286.63785597857299"/>
    <x v="0"/>
    <n v="16169909.0424836"/>
    <n v="17.508182999999999"/>
  </r>
  <r>
    <n v="1997"/>
    <x v="3"/>
    <n v="31.7"/>
    <n v="3.64"/>
    <n v="286.63785597857299"/>
    <x v="0"/>
    <n v="16169909.0424836"/>
    <n v="7.7996939999999997"/>
  </r>
  <r>
    <n v="1997"/>
    <x v="4"/>
    <n v="31.3"/>
    <n v="4.8"/>
    <n v="286.63785597857299"/>
    <x v="0"/>
    <n v="16169909.0424836"/>
    <n v="4.6954618000000004"/>
  </r>
  <r>
    <n v="1997"/>
    <x v="5"/>
    <n v="36.1"/>
    <n v="11.85"/>
    <n v="286.63785597857299"/>
    <x v="0"/>
    <n v="16169909.0424836"/>
    <n v="14.538385"/>
  </r>
  <r>
    <n v="1997"/>
    <x v="6"/>
    <n v="39.200000000000003"/>
    <n v="14.86"/>
    <n v="286.63785597857299"/>
    <x v="0"/>
    <n v="16169909.0424836"/>
    <n v="14.986387000000001"/>
  </r>
  <r>
    <n v="1997"/>
    <x v="7"/>
    <n v="38.799999999999997"/>
    <n v="18.62"/>
    <n v="286.63785597857299"/>
    <x v="0"/>
    <n v="16169909.0424836"/>
    <n v="18.483519999999999"/>
  </r>
  <r>
    <n v="1997"/>
    <x v="8"/>
    <n v="41.3"/>
    <n v="18.5"/>
    <n v="286.63785597857299"/>
    <x v="0"/>
    <n v="16169909.0424836"/>
    <n v="18.393986000000002"/>
  </r>
  <r>
    <n v="1997"/>
    <x v="9"/>
    <n v="32"/>
    <n v="5.77"/>
    <n v="286.63785597857299"/>
    <x v="0"/>
    <n v="16169909.0424836"/>
    <n v="10.787226"/>
  </r>
  <r>
    <n v="1997"/>
    <x v="10"/>
    <n v="33.299999999999997"/>
    <n v="6.46"/>
    <n v="286.63785597857299"/>
    <x v="0"/>
    <n v="16169909.0424836"/>
    <n v="6.554405"/>
  </r>
  <r>
    <n v="1997"/>
    <x v="11"/>
    <n v="35.299999999999997"/>
    <n v="8.73"/>
    <n v="286.63785597857299"/>
    <x v="0"/>
    <n v="16169909.0424836"/>
    <n v="8.7203269999999993"/>
  </r>
  <r>
    <n v="1997"/>
    <x v="12"/>
    <n v="38.299999999999997"/>
    <n v="15.52"/>
    <n v="286.63785597857299"/>
    <x v="0"/>
    <n v="16169909.0424836"/>
    <n v="15.512702000000001"/>
  </r>
  <r>
    <n v="1997"/>
    <x v="13"/>
    <n v="39.1"/>
    <n v="14.97"/>
    <n v="286.63785597857299"/>
    <x v="0"/>
    <n v="16169909.0424836"/>
    <n v="14.9476385"/>
  </r>
  <r>
    <n v="1997"/>
    <x v="14"/>
    <n v="34.299999999999997"/>
    <n v="15.85"/>
    <n v="286.63785597857299"/>
    <x v="0"/>
    <n v="16169909.0424836"/>
    <n v="15.818585000000001"/>
  </r>
  <r>
    <n v="1997"/>
    <x v="15"/>
    <n v="38.9"/>
    <n v="18.72"/>
    <n v="286.63785597857299"/>
    <x v="0"/>
    <n v="16169909.0424836"/>
    <n v="17.177177"/>
  </r>
  <r>
    <n v="1997"/>
    <x v="16"/>
    <n v="36.299999999999997"/>
    <n v="15.81"/>
    <n v="286.63785597857299"/>
    <x v="0"/>
    <n v="16169909.0424836"/>
    <n v="15.816012000000001"/>
  </r>
  <r>
    <n v="1997"/>
    <x v="17"/>
    <n v="36.5"/>
    <n v="16.350000000000001"/>
    <n v="286.63785597857299"/>
    <x v="0"/>
    <n v="16169909.0424836"/>
    <n v="16.292158000000001"/>
  </r>
  <r>
    <n v="1997"/>
    <x v="18"/>
    <n v="33.200000000000003"/>
    <n v="5.44"/>
    <n v="286.63785597857299"/>
    <x v="0"/>
    <n v="16169909.0424836"/>
    <n v="5.3897360000000001"/>
  </r>
  <r>
    <n v="1998"/>
    <x v="0"/>
    <n v="25.9"/>
    <n v="15.38"/>
    <n v="286.30274155560602"/>
    <x v="1"/>
    <n v="15079114.0392156"/>
    <n v="15.350479999999999"/>
  </r>
  <r>
    <n v="1998"/>
    <x v="1"/>
    <n v="29.1"/>
    <n v="17.79"/>
    <n v="286.30274155560602"/>
    <x v="1"/>
    <n v="15079114.0392156"/>
    <n v="17.560279999999999"/>
  </r>
  <r>
    <n v="1998"/>
    <x v="2"/>
    <n v="30.2"/>
    <n v="14.91"/>
    <n v="286.30274155560602"/>
    <x v="1"/>
    <n v="15079114.0392156"/>
    <n v="15.080299"/>
  </r>
  <r>
    <n v="1998"/>
    <x v="3"/>
    <n v="23.9"/>
    <n v="3.08"/>
    <n v="286.30274155560602"/>
    <x v="1"/>
    <n v="15079114.0392156"/>
    <n v="6.3376340000000004"/>
  </r>
  <r>
    <n v="1998"/>
    <x v="4"/>
    <n v="26.9"/>
    <n v="4.29"/>
    <n v="286.30274155560602"/>
    <x v="1"/>
    <n v="15079114.0392156"/>
    <n v="4.4460616000000002"/>
  </r>
  <r>
    <n v="1998"/>
    <x v="5"/>
    <n v="27.6"/>
    <n v="9.52"/>
    <n v="286.30274155560602"/>
    <x v="1"/>
    <n v="15079114.0392156"/>
    <n v="9.361834"/>
  </r>
  <r>
    <n v="1998"/>
    <x v="6"/>
    <n v="28.5"/>
    <n v="13.53"/>
    <n v="286.30274155560602"/>
    <x v="1"/>
    <n v="15079114.0392156"/>
    <n v="14.549086000000001"/>
  </r>
  <r>
    <n v="1998"/>
    <x v="7"/>
    <n v="26.2"/>
    <n v="11.83"/>
    <n v="286.30274155560602"/>
    <x v="1"/>
    <n v="15079114.0392156"/>
    <n v="11.847625000000001"/>
  </r>
  <r>
    <n v="1998"/>
    <x v="8"/>
    <n v="24.4"/>
    <n v="13.31"/>
    <n v="286.30274155560602"/>
    <x v="1"/>
    <n v="15079114.0392156"/>
    <n v="13.278359999999999"/>
  </r>
  <r>
    <n v="1998"/>
    <x v="9"/>
    <n v="23.6"/>
    <n v="7.22"/>
    <n v="286.30274155560602"/>
    <x v="1"/>
    <n v="15079114.0392156"/>
    <n v="7.3332670000000002"/>
  </r>
  <r>
    <n v="1998"/>
    <x v="10"/>
    <n v="21.5"/>
    <n v="3.86"/>
    <n v="286.30274155560602"/>
    <x v="1"/>
    <n v="15079114.0392156"/>
    <n v="3.9229617000000001"/>
  </r>
  <r>
    <n v="1998"/>
    <x v="11"/>
    <n v="24.1"/>
    <n v="6.27"/>
    <n v="286.30274155560602"/>
    <x v="1"/>
    <n v="15079114.0392156"/>
    <n v="7.5297010000000002"/>
  </r>
  <r>
    <n v="1998"/>
    <x v="12"/>
    <n v="23.9"/>
    <n v="10.46"/>
    <n v="286.30274155560602"/>
    <x v="1"/>
    <n v="15079114.0392156"/>
    <n v="10.494635000000001"/>
  </r>
  <r>
    <n v="1998"/>
    <x v="13"/>
    <n v="20.7"/>
    <n v="8.2200000000000006"/>
    <n v="286.30274155560602"/>
    <x v="1"/>
    <n v="15079114.0392156"/>
    <n v="8.1670359999999995"/>
  </r>
  <r>
    <n v="1998"/>
    <x v="14"/>
    <n v="21.2"/>
    <n v="11.02"/>
    <n v="286.30274155560602"/>
    <x v="1"/>
    <n v="15079114.0392156"/>
    <n v="11.007764"/>
  </r>
  <r>
    <n v="1998"/>
    <x v="15"/>
    <n v="20.2"/>
    <n v="11.13"/>
    <n v="286.30274155560602"/>
    <x v="1"/>
    <n v="15079114.0392156"/>
    <n v="11.102650000000001"/>
  </r>
  <r>
    <n v="1998"/>
    <x v="17"/>
    <n v="22.4"/>
    <n v="11.28"/>
    <n v="286.30274155560602"/>
    <x v="1"/>
    <n v="15079114.0392156"/>
    <n v="11.247313999999999"/>
  </r>
  <r>
    <n v="1998"/>
    <x v="16"/>
    <n v="21"/>
    <n v="11.08"/>
    <n v="286.30274155560602"/>
    <x v="1"/>
    <n v="15079114.0392156"/>
    <n v="10.943838"/>
  </r>
  <r>
    <n v="1998"/>
    <x v="18"/>
    <n v="21.5"/>
    <n v="2.68"/>
    <n v="286.30274155560602"/>
    <x v="1"/>
    <n v="15079114.0392156"/>
    <n v="2.871699"/>
  </r>
  <r>
    <n v="1999"/>
    <x v="0"/>
    <n v="30.1"/>
    <n v="20.149999999999999"/>
    <n v="286.77722826191001"/>
    <x v="2"/>
    <n v="15839295.225490101"/>
    <n v="19.991330999999999"/>
  </r>
  <r>
    <n v="1999"/>
    <x v="1"/>
    <n v="25.8"/>
    <n v="17.07"/>
    <n v="286.77722826191001"/>
    <x v="2"/>
    <n v="15839295.225490101"/>
    <n v="11.248562"/>
  </r>
  <r>
    <n v="1999"/>
    <x v="2"/>
    <n v="28.4"/>
    <n v="14.73"/>
    <n v="286.77722826191001"/>
    <x v="2"/>
    <n v="15839295.225490101"/>
    <n v="14.644404"/>
  </r>
  <r>
    <n v="1999"/>
    <x v="3"/>
    <n v="21.2"/>
    <n v="2.79"/>
    <n v="286.77722826191001"/>
    <x v="2"/>
    <n v="15839295.225490101"/>
    <n v="2.6302645"/>
  </r>
  <r>
    <n v="1999"/>
    <x v="4"/>
    <n v="20.399999999999999"/>
    <n v="1.94"/>
    <n v="286.77722826191001"/>
    <x v="2"/>
    <n v="15839295.225490101"/>
    <n v="3.8760880000000002"/>
  </r>
  <r>
    <n v="1999"/>
    <x v="5"/>
    <n v="23.1"/>
    <n v="5.65"/>
    <n v="286.77722826191001"/>
    <x v="2"/>
    <n v="15839295.225490101"/>
    <n v="5.6573563"/>
  </r>
  <r>
    <n v="1999"/>
    <x v="6"/>
    <n v="23.8"/>
    <n v="11.62"/>
    <n v="286.77722826191001"/>
    <x v="2"/>
    <n v="15839295.225490101"/>
    <n v="11.489655000000001"/>
  </r>
  <r>
    <n v="1999"/>
    <x v="7"/>
    <n v="26.1"/>
    <n v="14.83"/>
    <n v="286.77722826191001"/>
    <x v="2"/>
    <n v="15839295.225490101"/>
    <n v="12.115518"/>
  </r>
  <r>
    <n v="1999"/>
    <x v="8"/>
    <n v="25.7"/>
    <n v="16.809999999999999"/>
    <n v="286.77722826191001"/>
    <x v="2"/>
    <n v="15839295.225490101"/>
    <n v="11.918350999999999"/>
  </r>
  <r>
    <n v="1999"/>
    <x v="9"/>
    <n v="25.6"/>
    <n v="7.63"/>
    <n v="286.77722826191001"/>
    <x v="2"/>
    <n v="15839295.225490101"/>
    <n v="7.6158910000000004"/>
  </r>
  <r>
    <n v="1999"/>
    <x v="10"/>
    <n v="26.1"/>
    <n v="7.25"/>
    <n v="286.77722826191001"/>
    <x v="2"/>
    <n v="15839295.225490101"/>
    <n v="7.2633853000000004"/>
  </r>
  <r>
    <n v="1999"/>
    <x v="11"/>
    <n v="26.7"/>
    <n v="7.85"/>
    <n v="286.77722826191001"/>
    <x v="2"/>
    <n v="15839295.225490101"/>
    <n v="7.9663880000000002"/>
  </r>
  <r>
    <n v="1999"/>
    <x v="12"/>
    <n v="26"/>
    <n v="9.57"/>
    <n v="286.77722826191001"/>
    <x v="2"/>
    <n v="15839295.225490101"/>
    <n v="9.7183829999999993"/>
  </r>
  <r>
    <n v="1999"/>
    <x v="13"/>
    <n v="28.9"/>
    <n v="9.98"/>
    <n v="286.77722826191001"/>
    <x v="2"/>
    <n v="15839295.225490101"/>
    <n v="10.174310999999999"/>
  </r>
  <r>
    <n v="1999"/>
    <x v="14"/>
    <n v="30.7"/>
    <n v="16.3"/>
    <n v="286.77722826191001"/>
    <x v="2"/>
    <n v="15839295.225490101"/>
    <n v="16.293491"/>
  </r>
  <r>
    <n v="1999"/>
    <x v="15"/>
    <n v="26.8"/>
    <n v="14.28"/>
    <n v="286.77722826191001"/>
    <x v="2"/>
    <n v="15839295.225490101"/>
    <n v="14.175604999999999"/>
  </r>
  <r>
    <n v="1999"/>
    <x v="16"/>
    <n v="28.5"/>
    <n v="15.2"/>
    <n v="286.77722826191001"/>
    <x v="2"/>
    <n v="15839295.225490101"/>
    <n v="15.153642"/>
  </r>
  <r>
    <n v="1999"/>
    <x v="17"/>
    <n v="29.6"/>
    <n v="15.68"/>
    <n v="286.77722826191001"/>
    <x v="2"/>
    <n v="15839295.225490101"/>
    <n v="16.770937"/>
  </r>
  <r>
    <n v="1999"/>
    <x v="18"/>
    <n v="23.8"/>
    <n v="3.1"/>
    <n v="286.77722826191001"/>
    <x v="2"/>
    <n v="15839295.225490101"/>
    <n v="6.6468030000000002"/>
  </r>
  <r>
    <n v="2000"/>
    <x v="0"/>
    <n v="24.9"/>
    <n v="12.8"/>
    <n v="286.37742624719101"/>
    <x v="3"/>
    <n v="15766376.3823529"/>
    <n v="12.734747"/>
  </r>
  <r>
    <n v="2000"/>
    <x v="1"/>
    <n v="24"/>
    <n v="10.34"/>
    <n v="286.37742624719101"/>
    <x v="3"/>
    <n v="15766376.3823529"/>
    <n v="10.107783"/>
  </r>
  <r>
    <n v="2000"/>
    <x v="2"/>
    <n v="23.2"/>
    <n v="9.6999999999999993"/>
    <n v="286.37742624719101"/>
    <x v="3"/>
    <n v="15766376.3823529"/>
    <n v="9.7079734999999996"/>
  </r>
  <r>
    <n v="2000"/>
    <x v="3"/>
    <n v="22"/>
    <n v="1.98"/>
    <n v="286.37742624719101"/>
    <x v="3"/>
    <n v="15766376.3823529"/>
    <n v="2.1614575"/>
  </r>
  <r>
    <n v="2000"/>
    <x v="4"/>
    <n v="20.8"/>
    <n v="2.4"/>
    <n v="286.37742624719101"/>
    <x v="3"/>
    <n v="15766376.3823529"/>
    <n v="2.4814756"/>
  </r>
  <r>
    <n v="2000"/>
    <x v="5"/>
    <n v="24.8"/>
    <n v="6.05"/>
    <n v="286.37742624719101"/>
    <x v="3"/>
    <n v="15766376.3823529"/>
    <n v="6.3467390000000004"/>
  </r>
  <r>
    <n v="2000"/>
    <x v="6"/>
    <n v="24.5"/>
    <n v="9.5500000000000007"/>
    <n v="286.37742624719101"/>
    <x v="3"/>
    <n v="15766376.3823529"/>
    <n v="10.531261000000001"/>
  </r>
  <r>
    <n v="2000"/>
    <x v="7"/>
    <n v="24.3"/>
    <n v="10.78"/>
    <n v="286.37742624719101"/>
    <x v="3"/>
    <n v="15766376.3823529"/>
    <n v="10.749039"/>
  </r>
  <r>
    <n v="2000"/>
    <x v="8"/>
    <n v="23.6"/>
    <n v="10.77"/>
    <n v="286.37742624719101"/>
    <x v="3"/>
    <n v="15766376.3823529"/>
    <n v="10.779033999999999"/>
  </r>
  <r>
    <n v="2000"/>
    <x v="9"/>
    <n v="20.9"/>
    <n v="3.99"/>
    <n v="286.37742624719101"/>
    <x v="3"/>
    <n v="15766376.3823529"/>
    <n v="4.0525045000000004"/>
  </r>
  <r>
    <n v="2000"/>
    <x v="10"/>
    <n v="24.3"/>
    <n v="5.83"/>
    <n v="286.37742624719101"/>
    <x v="3"/>
    <n v="15766376.3823529"/>
    <n v="5.8274755000000003"/>
  </r>
  <r>
    <n v="2000"/>
    <x v="11"/>
    <n v="24.1"/>
    <n v="6.34"/>
    <n v="286.37742624719101"/>
    <x v="3"/>
    <n v="15766376.3823529"/>
    <n v="6.3748636000000003"/>
  </r>
  <r>
    <n v="2000"/>
    <x v="12"/>
    <n v="26.3"/>
    <n v="9.27"/>
    <n v="286.37742624719101"/>
    <x v="3"/>
    <n v="15766376.3823529"/>
    <n v="9.2613660000000007"/>
  </r>
  <r>
    <n v="2000"/>
    <x v="13"/>
    <n v="27.1"/>
    <n v="10.63"/>
    <n v="286.37742624719101"/>
    <x v="3"/>
    <n v="15766376.3823529"/>
    <n v="10.430465"/>
  </r>
  <r>
    <n v="2000"/>
    <x v="14"/>
    <n v="22.2"/>
    <n v="11.77"/>
    <n v="286.37742624719101"/>
    <x v="3"/>
    <n v="15766376.3823529"/>
    <n v="11.655234"/>
  </r>
  <r>
    <n v="2000"/>
    <x v="15"/>
    <n v="23.3"/>
    <n v="13.75"/>
    <n v="286.37742624719101"/>
    <x v="3"/>
    <n v="15766376.3823529"/>
    <n v="9.8279399999999999"/>
  </r>
  <r>
    <n v="2000"/>
    <x v="16"/>
    <n v="23"/>
    <n v="10.89"/>
    <n v="286.37742624719101"/>
    <x v="3"/>
    <n v="15766376.3823529"/>
    <n v="9.3345000000000002"/>
  </r>
  <r>
    <n v="2000"/>
    <x v="17"/>
    <n v="23.9"/>
    <n v="10.6"/>
    <n v="286.37742624719101"/>
    <x v="3"/>
    <n v="15766376.3823529"/>
    <n v="10.544381"/>
  </r>
  <r>
    <n v="2000"/>
    <x v="18"/>
    <n v="22.5"/>
    <n v="2.97"/>
    <n v="286.37742624719101"/>
    <x v="3"/>
    <n v="15766376.3823529"/>
    <n v="3.0032835000000002"/>
  </r>
  <r>
    <n v="2001"/>
    <x v="19"/>
    <n v="25.7"/>
    <n v="13.67"/>
    <n v="286.36195303723701"/>
    <x v="4"/>
    <n v="15880450.614379"/>
    <n v="11.194794999999999"/>
  </r>
  <r>
    <n v="2001"/>
    <x v="1"/>
    <n v="28"/>
    <n v="13.54"/>
    <n v="286.36195303723701"/>
    <x v="4"/>
    <n v="15880450.614379"/>
    <n v="12.647174"/>
  </r>
  <r>
    <n v="2001"/>
    <x v="2"/>
    <n v="25.9"/>
    <n v="9.43"/>
    <n v="286.36195303723701"/>
    <x v="4"/>
    <n v="15880450.614379"/>
    <n v="13.425038000000001"/>
  </r>
  <r>
    <n v="2001"/>
    <x v="3"/>
    <n v="20.7"/>
    <n v="2.29"/>
    <n v="286.36195303723701"/>
    <x v="4"/>
    <n v="15880450.614379"/>
    <n v="2.3001529999999999"/>
  </r>
  <r>
    <n v="2001"/>
    <x v="20"/>
    <n v="21.1"/>
    <n v="1.71"/>
    <n v="286.36195303723701"/>
    <x v="4"/>
    <n v="15880450.614379"/>
    <n v="1.8605632999999999"/>
  </r>
  <r>
    <n v="2001"/>
    <x v="21"/>
    <n v="24.4"/>
    <n v="7.57"/>
    <n v="286.36195303723701"/>
    <x v="4"/>
    <n v="15880450.614379"/>
    <n v="7.5119023"/>
  </r>
  <r>
    <n v="2001"/>
    <x v="22"/>
    <n v="25.3"/>
    <n v="11.8"/>
    <n v="286.36195303723701"/>
    <x v="4"/>
    <n v="15880450.614379"/>
    <n v="7.3180623000000002"/>
  </r>
  <r>
    <n v="2001"/>
    <x v="23"/>
    <n v="22"/>
    <n v="10.27"/>
    <n v="286.36195303723701"/>
    <x v="4"/>
    <n v="15880450.614379"/>
    <n v="10.091803000000001"/>
  </r>
  <r>
    <n v="2001"/>
    <x v="24"/>
    <n v="19"/>
    <n v="7.96"/>
    <n v="286.36195303723701"/>
    <x v="4"/>
    <n v="15880450.614379"/>
    <n v="7.9799129999999998"/>
  </r>
  <r>
    <n v="2001"/>
    <x v="25"/>
    <n v="18.3"/>
    <n v="2.73"/>
    <n v="286.36195303723701"/>
    <x v="4"/>
    <n v="15880450.614379"/>
    <n v="2.688342"/>
  </r>
  <r>
    <n v="2001"/>
    <x v="26"/>
    <n v="16.899999999999999"/>
    <n v="4.1100000000000003"/>
    <n v="286.36195303723701"/>
    <x v="4"/>
    <n v="15880450.614379"/>
    <n v="4.0933365999999998"/>
  </r>
  <r>
    <n v="2001"/>
    <x v="27"/>
    <n v="19"/>
    <n v="6.8"/>
    <n v="286.36195303723701"/>
    <x v="4"/>
    <n v="15880450.614379"/>
    <n v="6.8198210000000001"/>
  </r>
  <r>
    <n v="2001"/>
    <x v="28"/>
    <n v="18"/>
    <n v="6.77"/>
    <n v="286.36195303723701"/>
    <x v="4"/>
    <n v="15880450.614379"/>
    <n v="6.7670599999999999"/>
  </r>
  <r>
    <n v="2001"/>
    <x v="29"/>
    <n v="19.2"/>
    <n v="8.84"/>
    <n v="286.36195303723701"/>
    <x v="4"/>
    <n v="15880450.614379"/>
    <n v="8.7741469999999993"/>
  </r>
  <r>
    <n v="2001"/>
    <x v="30"/>
    <n v="16.899999999999999"/>
    <n v="6.43"/>
    <n v="286.36195303723701"/>
    <x v="4"/>
    <n v="15880450.614379"/>
    <n v="6.3648639999999999"/>
  </r>
  <r>
    <n v="2001"/>
    <x v="31"/>
    <n v="18.7"/>
    <n v="7.76"/>
    <n v="286.36195303723701"/>
    <x v="4"/>
    <n v="15880450.614379"/>
    <n v="7.8214319999999997"/>
  </r>
  <r>
    <n v="2001"/>
    <x v="32"/>
    <n v="17.600000000000001"/>
    <n v="6.45"/>
    <n v="286.36195303723701"/>
    <x v="4"/>
    <n v="15880450.614379"/>
    <n v="6.4773392999999997"/>
  </r>
  <r>
    <n v="2001"/>
    <x v="33"/>
    <n v="19.100000000000001"/>
    <n v="7.42"/>
    <n v="286.36195303723701"/>
    <x v="4"/>
    <n v="15880450.614379"/>
    <n v="7.0311393999999998"/>
  </r>
  <r>
    <n v="2001"/>
    <x v="34"/>
    <n v="19"/>
    <n v="5.2"/>
    <n v="286.36195303723701"/>
    <x v="4"/>
    <n v="15880450.614379"/>
    <n v="3.73875"/>
  </r>
  <r>
    <n v="2002"/>
    <x v="19"/>
    <n v="26.9"/>
    <n v="10.65"/>
    <n v="286.432183359183"/>
    <x v="5"/>
    <n v="15391693.869281"/>
    <n v="10.953766"/>
  </r>
  <r>
    <n v="2002"/>
    <x v="1"/>
    <n v="25.1"/>
    <n v="7.68"/>
    <n v="286.432183359183"/>
    <x v="5"/>
    <n v="15391693.869281"/>
    <n v="8.2988800000000005"/>
  </r>
  <r>
    <n v="2002"/>
    <x v="2"/>
    <n v="24.9"/>
    <n v="8.41"/>
    <n v="286.432183359183"/>
    <x v="5"/>
    <n v="15391693.869281"/>
    <n v="8.4237739999999999"/>
  </r>
  <r>
    <n v="2002"/>
    <x v="3"/>
    <n v="21.7"/>
    <n v="2.5299999999999998"/>
    <n v="286.432183359183"/>
    <x v="5"/>
    <n v="15391693.869281"/>
    <n v="2.3737688000000001"/>
  </r>
  <r>
    <n v="2002"/>
    <x v="20"/>
    <n v="22.8"/>
    <n v="1.94"/>
    <n v="286.432183359183"/>
    <x v="5"/>
    <n v="15391693.869281"/>
    <n v="1.9783565000000001"/>
  </r>
  <r>
    <n v="2002"/>
    <x v="21"/>
    <n v="26.3"/>
    <n v="8.82"/>
    <n v="286.432183359183"/>
    <x v="5"/>
    <n v="15391693.869281"/>
    <n v="8.7539289999999994"/>
  </r>
  <r>
    <n v="2002"/>
    <x v="22"/>
    <n v="26.8"/>
    <n v="10.7"/>
    <n v="286.432183359183"/>
    <x v="5"/>
    <n v="15391693.869281"/>
    <n v="9.8447429999999994"/>
  </r>
  <r>
    <n v="2002"/>
    <x v="23"/>
    <n v="26.6"/>
    <n v="12.41"/>
    <n v="286.432183359183"/>
    <x v="5"/>
    <n v="15391693.869281"/>
    <n v="12.29222"/>
  </r>
  <r>
    <n v="2002"/>
    <x v="24"/>
    <n v="26.2"/>
    <n v="13.6"/>
    <n v="286.432183359183"/>
    <x v="5"/>
    <n v="15391693.869281"/>
    <n v="13.199396"/>
  </r>
  <r>
    <n v="2002"/>
    <x v="25"/>
    <n v="19.399999999999999"/>
    <n v="0.67"/>
    <n v="286.432183359183"/>
    <x v="5"/>
    <n v="15391693.869281"/>
    <n v="0.77176535000000002"/>
  </r>
  <r>
    <n v="2002"/>
    <x v="26"/>
    <n v="24.5"/>
    <n v="4.5999999999999996"/>
    <n v="286.432183359183"/>
    <x v="5"/>
    <n v="15391693.869281"/>
    <n v="4.7330360000000002"/>
  </r>
  <r>
    <n v="2002"/>
    <x v="27"/>
    <n v="27.2"/>
    <n v="12.05"/>
    <n v="286.432183359183"/>
    <x v="5"/>
    <n v="15391693.869281"/>
    <n v="12.018231"/>
  </r>
  <r>
    <n v="2002"/>
    <x v="28"/>
    <n v="26.2"/>
    <n v="12.37"/>
    <n v="286.432183359183"/>
    <x v="5"/>
    <n v="15391693.869281"/>
    <n v="12.340904"/>
  </r>
  <r>
    <n v="2002"/>
    <x v="29"/>
    <n v="26.8"/>
    <n v="13.45"/>
    <n v="286.432183359183"/>
    <x v="5"/>
    <n v="15391693.869281"/>
    <n v="11.372693999999999"/>
  </r>
  <r>
    <n v="2002"/>
    <x v="30"/>
    <n v="26.8"/>
    <n v="12.77"/>
    <n v="286.432183359183"/>
    <x v="5"/>
    <n v="15391693.869281"/>
    <n v="11.958066000000001"/>
  </r>
  <r>
    <n v="2002"/>
    <x v="31"/>
    <n v="24.9"/>
    <n v="12.73"/>
    <n v="286.432183359183"/>
    <x v="5"/>
    <n v="15391693.869281"/>
    <n v="12.237007999999999"/>
  </r>
  <r>
    <n v="2002"/>
    <x v="32"/>
    <n v="25.7"/>
    <n v="11.94"/>
    <n v="286.432183359183"/>
    <x v="5"/>
    <n v="15391693.869281"/>
    <n v="11.418971000000001"/>
  </r>
  <r>
    <n v="2002"/>
    <x v="33"/>
    <n v="26.1"/>
    <n v="11.23"/>
    <n v="286.432183359183"/>
    <x v="5"/>
    <n v="15391693.869281"/>
    <n v="11.417154"/>
  </r>
  <r>
    <n v="2002"/>
    <x v="34"/>
    <n v="26.4"/>
    <n v="6.16"/>
    <n v="286.432183359183"/>
    <x v="5"/>
    <n v="15391693.869281"/>
    <n v="6.5017446999999997"/>
  </r>
  <r>
    <n v="2003"/>
    <x v="19"/>
    <n v="26"/>
    <n v="8.57"/>
    <n v="287.21223499572301"/>
    <x v="6"/>
    <n v="16407922.356209099"/>
    <n v="9.9912349999999996"/>
  </r>
  <r>
    <n v="2003"/>
    <x v="1"/>
    <n v="26.6"/>
    <n v="10.62"/>
    <n v="287.21223499572301"/>
    <x v="6"/>
    <n v="16407922.356209099"/>
    <n v="10.473602"/>
  </r>
  <r>
    <n v="2003"/>
    <x v="2"/>
    <n v="28"/>
    <n v="9.9700000000000006"/>
    <n v="287.21223499572301"/>
    <x v="6"/>
    <n v="16407922.356209099"/>
    <n v="10.077874"/>
  </r>
  <r>
    <n v="2003"/>
    <x v="3"/>
    <n v="24.9"/>
    <n v="2.1"/>
    <n v="287.21223499572301"/>
    <x v="6"/>
    <n v="16407922.356209099"/>
    <n v="1.9642065"/>
  </r>
  <r>
    <n v="2003"/>
    <x v="20"/>
    <n v="24"/>
    <n v="3.85"/>
    <n v="287.21223499572301"/>
    <x v="6"/>
    <n v="16407922.356209099"/>
    <n v="3.6876492999999999"/>
  </r>
  <r>
    <n v="2003"/>
    <x v="21"/>
    <n v="26.9"/>
    <n v="6.49"/>
    <n v="287.21223499572301"/>
    <x v="6"/>
    <n v="16407922.356209099"/>
    <n v="6.1816114999999998"/>
  </r>
  <r>
    <n v="2003"/>
    <x v="22"/>
    <n v="26.8"/>
    <n v="7.27"/>
    <n v="287.21223499572301"/>
    <x v="6"/>
    <n v="16407922.356209099"/>
    <n v="7.2739444000000004"/>
  </r>
  <r>
    <n v="2003"/>
    <x v="23"/>
    <n v="27.8"/>
    <n v="7.32"/>
    <n v="287.21223499572301"/>
    <x v="6"/>
    <n v="16407922.356209099"/>
    <n v="7.5631595000000003"/>
  </r>
  <r>
    <n v="2003"/>
    <x v="24"/>
    <n v="27.9"/>
    <n v="9.07"/>
    <n v="287.21223499572301"/>
    <x v="6"/>
    <n v="16407922.356209099"/>
    <n v="8.9609220000000001"/>
  </r>
  <r>
    <n v="2003"/>
    <x v="25"/>
    <n v="21.2"/>
    <n v="1.88"/>
    <n v="287.21223499572301"/>
    <x v="6"/>
    <n v="16407922.356209099"/>
    <n v="1.9126034000000001"/>
  </r>
  <r>
    <n v="2003"/>
    <x v="26"/>
    <n v="25.1"/>
    <n v="4.87"/>
    <n v="287.21223499572301"/>
    <x v="6"/>
    <n v="16407922.356209099"/>
    <n v="2.5148244000000002"/>
  </r>
  <r>
    <n v="2003"/>
    <x v="27"/>
    <n v="27.2"/>
    <n v="7.92"/>
    <n v="287.21223499572301"/>
    <x v="6"/>
    <n v="16407922.356209099"/>
    <n v="7.9335336999999999"/>
  </r>
  <r>
    <n v="2003"/>
    <x v="28"/>
    <n v="27.4"/>
    <n v="8.43"/>
    <n v="287.21223499572301"/>
    <x v="6"/>
    <n v="16407922.356209099"/>
    <n v="8.9971759999999996"/>
  </r>
  <r>
    <n v="2003"/>
    <x v="29"/>
    <n v="28"/>
    <n v="8.35"/>
    <n v="287.21223499572301"/>
    <x v="6"/>
    <n v="16407922.356209099"/>
    <n v="8.5631120000000003"/>
  </r>
  <r>
    <n v="2003"/>
    <x v="30"/>
    <n v="27.6"/>
    <n v="8.23"/>
    <n v="287.21223499572301"/>
    <x v="6"/>
    <n v="16407922.356209099"/>
    <n v="8.2876799999999999"/>
  </r>
  <r>
    <n v="2003"/>
    <x v="31"/>
    <n v="26.3"/>
    <n v="8.56"/>
    <n v="287.21223499572301"/>
    <x v="6"/>
    <n v="16407922.356209099"/>
    <n v="8.6267399999999999"/>
  </r>
  <r>
    <n v="2003"/>
    <x v="32"/>
    <n v="25.6"/>
    <n v="7.57"/>
    <n v="287.21223499572301"/>
    <x v="6"/>
    <n v="16407922.356209099"/>
    <n v="7.5294147000000002"/>
  </r>
  <r>
    <n v="2003"/>
    <x v="33"/>
    <n v="25.5"/>
    <n v="7.36"/>
    <n v="287.21223499572301"/>
    <x v="6"/>
    <n v="16407922.356209099"/>
    <n v="7.1918350000000002"/>
  </r>
  <r>
    <n v="2003"/>
    <x v="34"/>
    <n v="27.2"/>
    <n v="7.07"/>
    <n v="287.21223499572301"/>
    <x v="6"/>
    <n v="16407922.356209099"/>
    <n v="6.9771729999999996"/>
  </r>
  <r>
    <n v="2004"/>
    <x v="19"/>
    <n v="31.5"/>
    <n v="23.13"/>
    <n v="286.72504719254198"/>
    <x v="7"/>
    <n v="15845144.993464001"/>
    <n v="22.666202999999999"/>
  </r>
  <r>
    <n v="2004"/>
    <x v="1"/>
    <n v="30.1"/>
    <n v="17.55"/>
    <n v="286.72504719254198"/>
    <x v="7"/>
    <n v="15845144.993464001"/>
    <n v="17.519590000000001"/>
  </r>
  <r>
    <n v="2004"/>
    <x v="2"/>
    <n v="31.8"/>
    <n v="16.78"/>
    <n v="286.72504719254198"/>
    <x v="7"/>
    <n v="15845144.993464001"/>
    <n v="17.111609999999999"/>
  </r>
  <r>
    <n v="2004"/>
    <x v="3"/>
    <n v="22.8"/>
    <n v="1.56"/>
    <n v="286.72504719254198"/>
    <x v="7"/>
    <n v="15845144.993464001"/>
    <n v="1.6279737999999999"/>
  </r>
  <r>
    <n v="2004"/>
    <x v="20"/>
    <n v="20.9"/>
    <n v="0.97"/>
    <n v="286.72504719254198"/>
    <x v="7"/>
    <n v="15845144.993464001"/>
    <n v="3.1387331000000001"/>
  </r>
  <r>
    <n v="2004"/>
    <x v="21"/>
    <n v="25.5"/>
    <n v="3.27"/>
    <n v="286.72504719254198"/>
    <x v="7"/>
    <n v="15845144.993464001"/>
    <n v="3.7178599999999999"/>
  </r>
  <r>
    <n v="2004"/>
    <x v="22"/>
    <n v="27.8"/>
    <n v="11.97"/>
    <n v="286.72504719254198"/>
    <x v="7"/>
    <n v="15845144.993464001"/>
    <n v="11.8402195"/>
  </r>
  <r>
    <n v="2004"/>
    <x v="23"/>
    <n v="28.7"/>
    <n v="15.13"/>
    <n v="286.72504719254198"/>
    <x v="7"/>
    <n v="15845144.993464001"/>
    <n v="14.849231"/>
  </r>
  <r>
    <n v="2004"/>
    <x v="24"/>
    <n v="30.2"/>
    <n v="16.12"/>
    <n v="286.72504719254198"/>
    <x v="7"/>
    <n v="15845144.993464001"/>
    <n v="16.199874999999999"/>
  </r>
  <r>
    <n v="2004"/>
    <x v="25"/>
    <n v="22.6"/>
    <n v="5.33"/>
    <n v="286.72504719254198"/>
    <x v="7"/>
    <n v="15845144.993464001"/>
    <n v="5.2978449999999997"/>
  </r>
  <r>
    <n v="2004"/>
    <x v="26"/>
    <n v="27.4"/>
    <n v="9.31"/>
    <n v="286.72504719254198"/>
    <x v="7"/>
    <n v="15845144.993464001"/>
    <n v="9.3339189999999999"/>
  </r>
  <r>
    <n v="2004"/>
    <x v="27"/>
    <n v="27"/>
    <n v="13.67"/>
    <n v="286.72504719254198"/>
    <x v="7"/>
    <n v="15845144.993464001"/>
    <n v="13.487780000000001"/>
  </r>
  <r>
    <n v="2004"/>
    <x v="28"/>
    <n v="28"/>
    <n v="13.65"/>
    <n v="286.72504719254198"/>
    <x v="7"/>
    <n v="15845144.993464001"/>
    <n v="13.446505"/>
  </r>
  <r>
    <n v="2004"/>
    <x v="29"/>
    <n v="29.1"/>
    <n v="13.77"/>
    <n v="286.72504719254198"/>
    <x v="7"/>
    <n v="15845144.993464001"/>
    <n v="14.210754"/>
  </r>
  <r>
    <n v="2004"/>
    <x v="30"/>
    <n v="27.7"/>
    <n v="13.67"/>
    <n v="286.72504719254198"/>
    <x v="7"/>
    <n v="15845144.993464001"/>
    <n v="13.316108"/>
  </r>
  <r>
    <n v="2004"/>
    <x v="31"/>
    <n v="28.5"/>
    <n v="13.6"/>
    <n v="286.72504719254198"/>
    <x v="7"/>
    <n v="15845144.993464001"/>
    <n v="14.539993000000001"/>
  </r>
  <r>
    <n v="2004"/>
    <x v="32"/>
    <n v="28.3"/>
    <n v="13.01"/>
    <n v="286.72504719254198"/>
    <x v="7"/>
    <n v="15845144.993464001"/>
    <n v="13.361504999999999"/>
  </r>
  <r>
    <n v="2004"/>
    <x v="33"/>
    <n v="31.6"/>
    <n v="16.89"/>
    <n v="286.72504719254198"/>
    <x v="7"/>
    <n v="15845144.993464001"/>
    <n v="16.812270999999999"/>
  </r>
  <r>
    <n v="2004"/>
    <x v="34"/>
    <n v="22.8"/>
    <n v="5.86"/>
    <n v="286.72504719254198"/>
    <x v="7"/>
    <n v="15845144.993464001"/>
    <n v="5.9440010000000001"/>
  </r>
  <r>
    <n v="2005"/>
    <x v="19"/>
    <n v="31.8"/>
    <n v="20.09"/>
    <n v="286.60719349181699"/>
    <x v="8"/>
    <n v="15810205.490196001"/>
    <n v="19.99859"/>
  </r>
  <r>
    <n v="2005"/>
    <x v="35"/>
    <n v="36.5"/>
    <n v="22.26"/>
    <n v="286.60719349181699"/>
    <x v="8"/>
    <n v="15810205.490196001"/>
    <n v="18.29804"/>
  </r>
  <r>
    <n v="2005"/>
    <x v="2"/>
    <n v="26.8"/>
    <n v="14.02"/>
    <n v="286.60719349181699"/>
    <x v="8"/>
    <n v="15810205.490196001"/>
    <n v="13.407733"/>
  </r>
  <r>
    <n v="2005"/>
    <x v="3"/>
    <n v="27.8"/>
    <n v="2.65"/>
    <n v="286.60719349181699"/>
    <x v="8"/>
    <n v="15810205.490196001"/>
    <n v="3.0790799"/>
  </r>
  <r>
    <n v="2005"/>
    <x v="20"/>
    <n v="27.1"/>
    <n v="3.21"/>
    <n v="286.60719349181699"/>
    <x v="8"/>
    <n v="15810205.490196001"/>
    <n v="3.6709442000000001"/>
  </r>
  <r>
    <n v="2005"/>
    <x v="21"/>
    <n v="28.7"/>
    <n v="9.8800000000000008"/>
    <n v="286.60719349181699"/>
    <x v="8"/>
    <n v="15810205.490196001"/>
    <n v="9.7584095000000008"/>
  </r>
  <r>
    <n v="2005"/>
    <x v="22"/>
    <n v="28.9"/>
    <n v="13.17"/>
    <n v="286.60719349181699"/>
    <x v="8"/>
    <n v="15810205.490196001"/>
    <n v="12.074488000000001"/>
  </r>
  <r>
    <n v="2005"/>
    <x v="23"/>
    <n v="30.2"/>
    <n v="14.85"/>
    <n v="286.60719349181699"/>
    <x v="8"/>
    <n v="15810205.490196001"/>
    <n v="14.868990999999999"/>
  </r>
  <r>
    <n v="2005"/>
    <x v="24"/>
    <n v="26.5"/>
    <n v="12.2"/>
    <n v="286.60719349181699"/>
    <x v="8"/>
    <n v="15810205.490196001"/>
    <n v="11.827425"/>
  </r>
  <r>
    <n v="2005"/>
    <x v="25"/>
    <n v="26.3"/>
    <n v="4.0599999999999996"/>
    <n v="286.60719349181699"/>
    <x v="8"/>
    <n v="15810205.490196001"/>
    <n v="4.2148890000000003"/>
  </r>
  <r>
    <n v="2005"/>
    <x v="26"/>
    <n v="34"/>
    <n v="11.51"/>
    <n v="286.60719349181699"/>
    <x v="8"/>
    <n v="15810205.490196001"/>
    <n v="11.6678"/>
  </r>
  <r>
    <n v="2005"/>
    <x v="27"/>
    <n v="32.1"/>
    <n v="16.170000000000002"/>
    <n v="286.60719349181699"/>
    <x v="8"/>
    <n v="15810205.490196001"/>
    <n v="17.011151999999999"/>
  </r>
  <r>
    <n v="2005"/>
    <x v="28"/>
    <n v="29.1"/>
    <n v="13.71"/>
    <n v="286.60719349181699"/>
    <x v="8"/>
    <n v="15810205.490196001"/>
    <n v="13.760159"/>
  </r>
  <r>
    <n v="2005"/>
    <x v="29"/>
    <n v="33.700000000000003"/>
    <n v="17.68"/>
    <n v="286.60719349181699"/>
    <x v="8"/>
    <n v="15810205.490196001"/>
    <n v="17.380882"/>
  </r>
  <r>
    <n v="2005"/>
    <x v="30"/>
    <n v="30.4"/>
    <n v="14.18"/>
    <n v="286.60719349181699"/>
    <x v="8"/>
    <n v="15810205.490196001"/>
    <n v="14.214274"/>
  </r>
  <r>
    <n v="2005"/>
    <x v="31"/>
    <n v="30.4"/>
    <n v="15.01"/>
    <n v="286.60719349181699"/>
    <x v="8"/>
    <n v="15810205.490196001"/>
    <n v="15.003769999999999"/>
  </r>
  <r>
    <n v="2005"/>
    <x v="32"/>
    <n v="31.6"/>
    <n v="14.61"/>
    <n v="286.60719349181699"/>
    <x v="8"/>
    <n v="15810205.490196001"/>
    <n v="15.490266"/>
  </r>
  <r>
    <n v="2005"/>
    <x v="33"/>
    <n v="32.700000000000003"/>
    <n v="15.69"/>
    <n v="286.60719349181699"/>
    <x v="8"/>
    <n v="15810205.490196001"/>
    <n v="15.814289"/>
  </r>
  <r>
    <n v="2005"/>
    <x v="34"/>
    <n v="26.7"/>
    <n v="7.9"/>
    <n v="286.60719349181699"/>
    <x v="8"/>
    <n v="15810205.490196001"/>
    <n v="7.9826370000000004"/>
  </r>
  <r>
    <n v="2006"/>
    <x v="19"/>
    <n v="36.1"/>
    <n v="13.03"/>
    <n v="287.35079577078199"/>
    <x v="9"/>
    <n v="16344512.006535901"/>
    <n v="13.1264305"/>
  </r>
  <r>
    <n v="2006"/>
    <x v="35"/>
    <n v="37.1"/>
    <n v="17.14"/>
    <n v="287.35079577078199"/>
    <x v="9"/>
    <n v="16344512.006535901"/>
    <n v="17.069132"/>
  </r>
  <r>
    <n v="2006"/>
    <x v="2"/>
    <n v="35.6"/>
    <n v="11.8"/>
    <n v="287.35079577078199"/>
    <x v="9"/>
    <n v="16344512.006535901"/>
    <n v="10.92488"/>
  </r>
  <r>
    <n v="2006"/>
    <x v="3"/>
    <n v="34.1"/>
    <n v="4.25"/>
    <n v="287.35079577078199"/>
    <x v="9"/>
    <n v="16344512.006535901"/>
    <n v="4.2278950000000002"/>
  </r>
  <r>
    <n v="2006"/>
    <x v="20"/>
    <n v="29.7"/>
    <n v="2.36"/>
    <n v="287.35079577078199"/>
    <x v="9"/>
    <n v="16344512.006535901"/>
    <n v="5.1486086999999996"/>
  </r>
  <r>
    <n v="2006"/>
    <x v="21"/>
    <n v="37.1"/>
    <n v="6.55"/>
    <n v="287.35079577078199"/>
    <x v="9"/>
    <n v="16344512.006535901"/>
    <n v="6.5647773999999997"/>
  </r>
  <r>
    <n v="2006"/>
    <x v="22"/>
    <n v="37.700000000000003"/>
    <n v="9.98"/>
    <n v="287.35079577078199"/>
    <x v="9"/>
    <n v="16344512.006535901"/>
    <n v="10.10896"/>
  </r>
  <r>
    <n v="2006"/>
    <x v="23"/>
    <n v="38"/>
    <n v="11.23"/>
    <n v="287.35079577078199"/>
    <x v="9"/>
    <n v="16344512.006535901"/>
    <n v="11.103032000000001"/>
  </r>
  <r>
    <n v="2006"/>
    <x v="24"/>
    <n v="37.799999999999997"/>
    <n v="10.92"/>
    <n v="287.35079577078199"/>
    <x v="9"/>
    <n v="16344512.006535901"/>
    <n v="10.95595"/>
  </r>
  <r>
    <n v="2006"/>
    <x v="25"/>
    <n v="35.5"/>
    <n v="3.9"/>
    <n v="287.35079577078199"/>
    <x v="9"/>
    <n v="16344512.006535901"/>
    <n v="4.0048585000000001"/>
  </r>
  <r>
    <n v="2006"/>
    <x v="26"/>
    <n v="39"/>
    <n v="3.1"/>
    <n v="287.35079577078199"/>
    <x v="9"/>
    <n v="16344512.006535901"/>
    <n v="3.1105597"/>
  </r>
  <r>
    <n v="2006"/>
    <x v="36"/>
    <n v="39.799999999999997"/>
    <n v="7.33"/>
    <n v="287.35079577078199"/>
    <x v="9"/>
    <n v="16344512.006535901"/>
    <n v="9.0067140000000006"/>
  </r>
  <r>
    <n v="2006"/>
    <x v="28"/>
    <n v="35.1"/>
    <n v="7.69"/>
    <n v="287.35079577078199"/>
    <x v="9"/>
    <n v="16344512.006535901"/>
    <n v="7.7784414000000002"/>
  </r>
  <r>
    <n v="2006"/>
    <x v="29"/>
    <n v="38.5"/>
    <n v="7.6"/>
    <n v="287.35079577078199"/>
    <x v="9"/>
    <n v="16344512.006535901"/>
    <n v="7.695964"/>
  </r>
  <r>
    <n v="2006"/>
    <x v="30"/>
    <n v="31.9"/>
    <n v="8.23"/>
    <n v="287.35079577078199"/>
    <x v="9"/>
    <n v="16344512.006535901"/>
    <n v="8.2444959999999998"/>
  </r>
  <r>
    <n v="2006"/>
    <x v="31"/>
    <n v="35.6"/>
    <n v="9.74"/>
    <n v="287.35079577078199"/>
    <x v="9"/>
    <n v="16344512.006535901"/>
    <n v="9.5140860000000007"/>
  </r>
  <r>
    <n v="2006"/>
    <x v="32"/>
    <n v="35.5"/>
    <n v="9.27"/>
    <n v="287.35079577078199"/>
    <x v="9"/>
    <n v="16344512.006535901"/>
    <n v="9.0933694999999997"/>
  </r>
  <r>
    <n v="2006"/>
    <x v="33"/>
    <n v="36.200000000000003"/>
    <n v="10.52"/>
    <n v="287.35079577078199"/>
    <x v="9"/>
    <n v="16344512.006535901"/>
    <n v="10.627224999999999"/>
  </r>
  <r>
    <n v="2006"/>
    <x v="34"/>
    <n v="33.799999999999997"/>
    <n v="7.75"/>
    <n v="287.35079577078199"/>
    <x v="9"/>
    <n v="16344512.006535901"/>
    <n v="7.6562643000000001"/>
  </r>
  <r>
    <n v="2008"/>
    <x v="19"/>
    <n v="28.5"/>
    <n v="13.6"/>
    <n v="286.61300918479299"/>
    <x v="10"/>
    <n v="15497942.7614379"/>
    <n v="13.686932000000001"/>
  </r>
  <r>
    <n v="2008"/>
    <x v="35"/>
    <n v="29.1"/>
    <n v="16.559999999999999"/>
    <n v="286.61300918479299"/>
    <x v="10"/>
    <n v="15497942.7614379"/>
    <n v="16.484386000000001"/>
  </r>
  <r>
    <n v="2008"/>
    <x v="2"/>
    <n v="28"/>
    <n v="11.71"/>
    <n v="286.61300918479299"/>
    <x v="10"/>
    <n v="15497942.7614379"/>
    <n v="9.9697779999999998"/>
  </r>
  <r>
    <n v="2008"/>
    <x v="3"/>
    <n v="22.6"/>
    <n v="3.03"/>
    <n v="286.61300918479299"/>
    <x v="10"/>
    <n v="15497942.7614379"/>
    <n v="2.9846531999999999"/>
  </r>
  <r>
    <n v="2008"/>
    <x v="20"/>
    <n v="24.7"/>
    <n v="3.98"/>
    <n v="286.61300918479299"/>
    <x v="10"/>
    <n v="15497942.7614379"/>
    <n v="5.2621399999999996"/>
  </r>
  <r>
    <n v="2008"/>
    <x v="21"/>
    <n v="24.6"/>
    <n v="6.1"/>
    <n v="286.61300918479299"/>
    <x v="10"/>
    <n v="15497942.7614379"/>
    <n v="6.0331010000000003"/>
  </r>
  <r>
    <n v="2008"/>
    <x v="22"/>
    <n v="27.6"/>
    <n v="8.93"/>
    <n v="286.61300918479299"/>
    <x v="10"/>
    <n v="15497942.7614379"/>
    <n v="8.9740280000000006"/>
  </r>
  <r>
    <n v="2008"/>
    <x v="23"/>
    <n v="24.4"/>
    <n v="9.2799999999999994"/>
    <n v="286.61300918479299"/>
    <x v="10"/>
    <n v="15497942.7614379"/>
    <n v="9.4079049999999995"/>
  </r>
  <r>
    <n v="2008"/>
    <x v="24"/>
    <n v="23.9"/>
    <n v="9.99"/>
    <n v="286.61300918479299"/>
    <x v="10"/>
    <n v="15497942.7614379"/>
    <n v="9.899915"/>
  </r>
  <r>
    <n v="2008"/>
    <x v="25"/>
    <n v="19.8"/>
    <n v="2.31"/>
    <n v="286.61300918479299"/>
    <x v="10"/>
    <n v="15497942.7614379"/>
    <n v="0.55803119999999995"/>
  </r>
  <r>
    <n v="2008"/>
    <x v="26"/>
    <n v="23.4"/>
    <n v="5.64"/>
    <n v="286.61300918479299"/>
    <x v="10"/>
    <n v="15497942.7614379"/>
    <n v="5.6431870000000002"/>
  </r>
  <r>
    <n v="2008"/>
    <x v="36"/>
    <n v="26.9"/>
    <n v="10.07"/>
    <n v="286.61300918479299"/>
    <x v="10"/>
    <n v="15497942.7614379"/>
    <n v="10.070865"/>
  </r>
  <r>
    <n v="2008"/>
    <x v="28"/>
    <n v="24.2"/>
    <n v="8.8699999999999992"/>
    <n v="286.61300918479299"/>
    <x v="10"/>
    <n v="15497942.7614379"/>
    <n v="8.9790700000000001"/>
  </r>
  <r>
    <n v="2008"/>
    <x v="29"/>
    <n v="25.7"/>
    <n v="9.66"/>
    <n v="286.61300918479299"/>
    <x v="10"/>
    <n v="15497942.7614379"/>
    <n v="9.7189870000000003"/>
  </r>
  <r>
    <n v="2008"/>
    <x v="30"/>
    <n v="24.5"/>
    <n v="9.84"/>
    <n v="286.61300918479299"/>
    <x v="10"/>
    <n v="15497942.7614379"/>
    <n v="9.8321020000000008"/>
  </r>
  <r>
    <n v="2008"/>
    <x v="31"/>
    <n v="24.5"/>
    <n v="9.57"/>
    <n v="286.61300918479299"/>
    <x v="10"/>
    <n v="15497942.7614379"/>
    <n v="9.5794750000000004"/>
  </r>
  <r>
    <n v="2008"/>
    <x v="32"/>
    <n v="23.9"/>
    <n v="9.0500000000000007"/>
    <n v="286.61300918479299"/>
    <x v="10"/>
    <n v="15497942.7614379"/>
    <n v="9.1856910000000003"/>
  </r>
  <r>
    <n v="2008"/>
    <x v="33"/>
    <n v="24.2"/>
    <n v="9.5"/>
    <n v="286.61300918479299"/>
    <x v="10"/>
    <n v="15497942.7614379"/>
    <n v="9.5525559999999992"/>
  </r>
  <r>
    <n v="2008"/>
    <x v="34"/>
    <n v="23"/>
    <n v="5.86"/>
    <n v="286.61300918479299"/>
    <x v="10"/>
    <n v="15497942.7614379"/>
    <n v="5.8684086999999998"/>
  </r>
  <r>
    <n v="2009"/>
    <x v="19"/>
    <n v="22.4"/>
    <n v="11.81"/>
    <n v="286.65361451791"/>
    <x v="11"/>
    <n v="15957279.0294117"/>
    <n v="11.791694"/>
  </r>
  <r>
    <n v="2009"/>
    <x v="35"/>
    <n v="23"/>
    <n v="13.84"/>
    <n v="286.65361451791"/>
    <x v="11"/>
    <n v="15957279.0294117"/>
    <n v="13.792147999999999"/>
  </r>
  <r>
    <n v="2009"/>
    <x v="2"/>
    <n v="22.3"/>
    <n v="12.37"/>
    <n v="286.65361451791"/>
    <x v="11"/>
    <n v="15957279.0294117"/>
    <n v="10.566127"/>
  </r>
  <r>
    <n v="2009"/>
    <x v="3"/>
    <n v="19.8"/>
    <n v="0.57999999999999996"/>
    <n v="286.65361451791"/>
    <x v="11"/>
    <n v="15957279.0294117"/>
    <n v="0.75480544999999999"/>
  </r>
  <r>
    <n v="2009"/>
    <x v="20"/>
    <n v="21.9"/>
    <n v="5.2"/>
    <n v="286.65361451791"/>
    <x v="11"/>
    <n v="15957279.0294117"/>
    <n v="5.162795"/>
  </r>
  <r>
    <n v="2009"/>
    <x v="21"/>
    <n v="22.1"/>
    <n v="7.12"/>
    <n v="286.65361451791"/>
    <x v="11"/>
    <n v="15957279.0294117"/>
    <n v="7.0639250000000002"/>
  </r>
  <r>
    <n v="2009"/>
    <x v="22"/>
    <n v="21.1"/>
    <n v="8.51"/>
    <n v="286.65361451791"/>
    <x v="11"/>
    <n v="15957279.0294117"/>
    <n v="8.4640620000000002"/>
  </r>
  <r>
    <n v="2009"/>
    <x v="23"/>
    <n v="21.2"/>
    <n v="8.25"/>
    <n v="286.65361451791"/>
    <x v="11"/>
    <n v="15957279.0294117"/>
    <n v="8.3046699999999998"/>
  </r>
  <r>
    <n v="2009"/>
    <x v="24"/>
    <n v="21.1"/>
    <n v="8.34"/>
    <n v="286.65361451791"/>
    <x v="11"/>
    <n v="15957279.0294117"/>
    <n v="8.3774440000000006"/>
  </r>
  <r>
    <n v="2009"/>
    <x v="25"/>
    <n v="17.3"/>
    <n v="0.94"/>
    <n v="286.65361451791"/>
    <x v="11"/>
    <n v="15957279.0294117"/>
    <n v="1.3588133"/>
  </r>
  <r>
    <n v="2009"/>
    <x v="26"/>
    <n v="19.7"/>
    <n v="5.19"/>
    <n v="286.65361451791"/>
    <x v="11"/>
    <n v="15957279.0294117"/>
    <n v="5.1344099999999999"/>
  </r>
  <r>
    <n v="2009"/>
    <x v="36"/>
    <n v="20.9"/>
    <n v="8.56"/>
    <n v="286.65361451791"/>
    <x v="11"/>
    <n v="15957279.0294117"/>
    <n v="8.5557219999999994"/>
  </r>
  <r>
    <n v="2009"/>
    <x v="28"/>
    <n v="21.2"/>
    <n v="8.89"/>
    <n v="286.65361451791"/>
    <x v="11"/>
    <n v="15957279.0294117"/>
    <n v="8.8466834999999993"/>
  </r>
  <r>
    <n v="2009"/>
    <x v="29"/>
    <n v="22"/>
    <n v="8.76"/>
    <n v="286.65361451791"/>
    <x v="11"/>
    <n v="15957279.0294117"/>
    <n v="9.0420110000000005"/>
  </r>
  <r>
    <n v="2009"/>
    <x v="30"/>
    <n v="20.399999999999999"/>
    <n v="7.82"/>
    <n v="286.65361451791"/>
    <x v="11"/>
    <n v="15957279.0294117"/>
    <n v="7.9593214999999997"/>
  </r>
  <r>
    <n v="2009"/>
    <x v="31"/>
    <n v="19.100000000000001"/>
    <n v="7.4"/>
    <n v="286.65361451791"/>
    <x v="11"/>
    <n v="15957279.0294117"/>
    <n v="6.4872923"/>
  </r>
  <r>
    <n v="2009"/>
    <x v="32"/>
    <n v="21.2"/>
    <n v="8.18"/>
    <n v="286.65361451791"/>
    <x v="11"/>
    <n v="15957279.0294117"/>
    <n v="8.1645059999999994"/>
  </r>
  <r>
    <n v="2009"/>
    <x v="33"/>
    <n v="20.399999999999999"/>
    <n v="8.4499999999999993"/>
    <n v="286.65361451791"/>
    <x v="11"/>
    <n v="15957279.0294117"/>
    <n v="8.3596409999999999"/>
  </r>
  <r>
    <n v="2009"/>
    <x v="34"/>
    <n v="19.5"/>
    <n v="3.49"/>
    <n v="286.65361451791"/>
    <x v="11"/>
    <n v="15957279.0294117"/>
    <n v="3.4583235000000001"/>
  </r>
  <r>
    <n v="2011"/>
    <x v="19"/>
    <n v="19.399999999999999"/>
    <n v="8.67"/>
    <n v="286.20084136763398"/>
    <x v="12"/>
    <n v="15700914.3921568"/>
    <n v="8.8331900000000001"/>
  </r>
  <r>
    <n v="2011"/>
    <x v="35"/>
    <n v="18.600000000000001"/>
    <n v="9.26"/>
    <n v="286.20084136763398"/>
    <x v="12"/>
    <n v="15700914.3921568"/>
    <n v="9.2821010000000008"/>
  </r>
  <r>
    <n v="2011"/>
    <x v="2"/>
    <n v="24.9"/>
    <n v="11.95"/>
    <n v="286.20084136763398"/>
    <x v="12"/>
    <n v="15700914.3921568"/>
    <n v="11.742872999999999"/>
  </r>
  <r>
    <n v="2011"/>
    <x v="3"/>
    <n v="18.600000000000001"/>
    <n v="1.49"/>
    <n v="286.20084136763398"/>
    <x v="12"/>
    <n v="15700914.3921568"/>
    <n v="1.2613179999999999"/>
  </r>
  <r>
    <n v="2011"/>
    <x v="20"/>
    <n v="18.399999999999999"/>
    <n v="2.86"/>
    <n v="286.20084136763398"/>
    <x v="12"/>
    <n v="15700914.3921568"/>
    <n v="2.5722797000000002"/>
  </r>
  <r>
    <n v="2011"/>
    <x v="21"/>
    <n v="20.6"/>
    <n v="5.05"/>
    <n v="286.20084136763398"/>
    <x v="12"/>
    <n v="15700914.3921568"/>
    <n v="5.6222896999999996"/>
  </r>
  <r>
    <n v="2011"/>
    <x v="22"/>
    <n v="20.100000000000001"/>
    <n v="7.9"/>
    <n v="286.20084136763398"/>
    <x v="12"/>
    <n v="15700914.3921568"/>
    <n v="7.8757289999999998"/>
  </r>
  <r>
    <n v="2011"/>
    <x v="23"/>
    <n v="16.8"/>
    <n v="5.27"/>
    <n v="286.20084136763398"/>
    <x v="12"/>
    <n v="15700914.3921568"/>
    <n v="5.2791123000000004"/>
  </r>
  <r>
    <n v="2011"/>
    <x v="24"/>
    <n v="17.600000000000001"/>
    <n v="5.83"/>
    <n v="286.20084136763398"/>
    <x v="12"/>
    <n v="15700914.3921568"/>
    <n v="5.7708225000000004"/>
  </r>
  <r>
    <n v="2011"/>
    <x v="25"/>
    <n v="17.100000000000001"/>
    <n v="1.0900000000000001"/>
    <n v="286.20084136763398"/>
    <x v="12"/>
    <n v="15700914.3921568"/>
    <n v="1.0120659000000001"/>
  </r>
  <r>
    <n v="2011"/>
    <x v="26"/>
    <n v="17.5"/>
    <n v="3.88"/>
    <n v="286.20084136763398"/>
    <x v="12"/>
    <n v="15700914.3921568"/>
    <n v="3.8668133999999998"/>
  </r>
  <r>
    <n v="2011"/>
    <x v="36"/>
    <n v="19.100000000000001"/>
    <n v="7.32"/>
    <n v="286.20084136763398"/>
    <x v="12"/>
    <n v="15700914.3921568"/>
    <n v="7.3155403000000003"/>
  </r>
  <r>
    <n v="2011"/>
    <x v="28"/>
    <n v="19.2"/>
    <n v="7.2"/>
    <n v="286.20084136763398"/>
    <x v="12"/>
    <n v="15700914.3921568"/>
    <n v="6.5786514"/>
  </r>
  <r>
    <n v="2011"/>
    <x v="29"/>
    <n v="18.2"/>
    <n v="7.01"/>
    <n v="286.20084136763398"/>
    <x v="12"/>
    <n v="15700914.3921568"/>
    <n v="7.0403985999999996"/>
  </r>
  <r>
    <n v="2011"/>
    <x v="30"/>
    <n v="18.399999999999999"/>
    <n v="5.63"/>
    <n v="286.20084136763398"/>
    <x v="12"/>
    <n v="15700914.3921568"/>
    <n v="5.6641349999999999"/>
  </r>
  <r>
    <n v="2011"/>
    <x v="31"/>
    <n v="16.8"/>
    <n v="4.33"/>
    <n v="286.20084136763398"/>
    <x v="12"/>
    <n v="15700914.3921568"/>
    <n v="4.4678234999999997"/>
  </r>
  <r>
    <n v="2011"/>
    <x v="32"/>
    <n v="17.3"/>
    <n v="5.19"/>
    <n v="286.20084136763398"/>
    <x v="12"/>
    <n v="15700914.3921568"/>
    <n v="5.2978535000000004"/>
  </r>
  <r>
    <n v="2011"/>
    <x v="33"/>
    <n v="18.8"/>
    <n v="5.88"/>
    <n v="286.20084136763398"/>
    <x v="12"/>
    <n v="15700914.3921568"/>
    <n v="5.9786739999999998"/>
  </r>
  <r>
    <n v="2011"/>
    <x v="34"/>
    <n v="19.7"/>
    <n v="2.56"/>
    <n v="286.20084136763398"/>
    <x v="12"/>
    <n v="15700914.3921568"/>
    <n v="2.5679690000000002"/>
  </r>
  <r>
    <n v="2012"/>
    <x v="19"/>
    <n v="27.8"/>
    <n v="14.32"/>
    <n v="285.87719806347002"/>
    <x v="13"/>
    <n v="15178482.6339869"/>
    <n v="13.632745999999999"/>
  </r>
  <r>
    <n v="2012"/>
    <x v="35"/>
    <n v="29.3"/>
    <n v="18.239999999999998"/>
    <n v="285.87719806347002"/>
    <x v="13"/>
    <n v="15178482.6339869"/>
    <n v="18.104448000000001"/>
  </r>
  <r>
    <n v="2012"/>
    <x v="2"/>
    <n v="28.4"/>
    <n v="11.21"/>
    <n v="285.87719806347002"/>
    <x v="13"/>
    <n v="15178482.6339869"/>
    <n v="11.285318999999999"/>
  </r>
  <r>
    <n v="2012"/>
    <x v="3"/>
    <n v="22.5"/>
    <n v="1.65"/>
    <n v="285.87719806347002"/>
    <x v="13"/>
    <n v="15178482.6339869"/>
    <n v="1.6241737999999999"/>
  </r>
  <r>
    <n v="2012"/>
    <x v="20"/>
    <n v="23.4"/>
    <n v="3.56"/>
    <n v="285.87719806347002"/>
    <x v="13"/>
    <n v="15178482.6339869"/>
    <n v="3.4113509999999998"/>
  </r>
  <r>
    <n v="2012"/>
    <x v="21"/>
    <n v="25.7"/>
    <n v="5.75"/>
    <n v="285.87719806347002"/>
    <x v="13"/>
    <n v="15178482.6339869"/>
    <n v="5.9128647000000001"/>
  </r>
  <r>
    <n v="2012"/>
    <x v="22"/>
    <n v="25.1"/>
    <n v="8.85"/>
    <n v="285.87719806347002"/>
    <x v="13"/>
    <n v="15178482.6339869"/>
    <n v="8.7550849999999993"/>
  </r>
  <r>
    <n v="2012"/>
    <x v="23"/>
    <n v="28.7"/>
    <n v="10.85"/>
    <n v="285.87719806347002"/>
    <x v="13"/>
    <n v="15178482.6339869"/>
    <n v="11.316934"/>
  </r>
  <r>
    <n v="2012"/>
    <x v="24"/>
    <n v="25.6"/>
    <n v="10.16"/>
    <n v="285.87719806347002"/>
    <x v="13"/>
    <n v="15178482.6339869"/>
    <n v="9.6055589999999995"/>
  </r>
  <r>
    <n v="2012"/>
    <x v="25"/>
    <n v="19.7"/>
    <n v="0.96"/>
    <n v="285.87719806347002"/>
    <x v="13"/>
    <n v="15178482.6339869"/>
    <n v="0.90547496000000005"/>
  </r>
  <r>
    <n v="2012"/>
    <x v="26"/>
    <n v="27.8"/>
    <n v="5.44"/>
    <n v="285.87719806347002"/>
    <x v="13"/>
    <n v="15178482.6339869"/>
    <n v="5.4867834999999996"/>
  </r>
  <r>
    <n v="2012"/>
    <x v="36"/>
    <n v="25.3"/>
    <n v="9.33"/>
    <n v="285.87719806347002"/>
    <x v="13"/>
    <n v="15178482.6339869"/>
    <n v="10.167261"/>
  </r>
  <r>
    <n v="2012"/>
    <x v="28"/>
    <n v="26.1"/>
    <n v="10.72"/>
    <n v="285.87719806347002"/>
    <x v="13"/>
    <n v="15178482.6339869"/>
    <n v="10.723936"/>
  </r>
  <r>
    <n v="2012"/>
    <x v="29"/>
    <n v="26.7"/>
    <n v="9.82"/>
    <n v="285.87719806347002"/>
    <x v="13"/>
    <n v="15178482.6339869"/>
    <n v="10.291062"/>
  </r>
  <r>
    <n v="2012"/>
    <x v="30"/>
    <n v="24.5"/>
    <n v="9.94"/>
    <n v="285.87719806347002"/>
    <x v="13"/>
    <n v="15178482.6339869"/>
    <n v="9.9801029999999997"/>
  </r>
  <r>
    <n v="2012"/>
    <x v="31"/>
    <n v="28.7"/>
    <n v="9.1300000000000008"/>
    <n v="285.87719806347002"/>
    <x v="13"/>
    <n v="15178482.6339869"/>
    <n v="9.7062229999999996"/>
  </r>
  <r>
    <n v="2012"/>
    <x v="32"/>
    <n v="25.3"/>
    <n v="9.1300000000000008"/>
    <n v="285.87719806347002"/>
    <x v="13"/>
    <n v="15178482.6339869"/>
    <n v="9.0881749999999997"/>
  </r>
  <r>
    <n v="2012"/>
    <x v="33"/>
    <n v="27.4"/>
    <n v="11.46"/>
    <n v="285.87719806347002"/>
    <x v="13"/>
    <n v="15178482.6339869"/>
    <n v="10.816637999999999"/>
  </r>
  <r>
    <n v="2012"/>
    <x v="34"/>
    <n v="24.9"/>
    <n v="5.43"/>
    <n v="285.87719806347002"/>
    <x v="13"/>
    <n v="15178482.6339869"/>
    <n v="5.5034932999999997"/>
  </r>
  <r>
    <n v="2013"/>
    <x v="19"/>
    <n v="30.7"/>
    <n v="3.51"/>
    <n v="286.464278277228"/>
    <x v="14"/>
    <n v="16054857.254901901"/>
    <n v="3.6568665999999999"/>
  </r>
  <r>
    <n v="2013"/>
    <x v="35"/>
    <n v="26.5"/>
    <n v="6.65"/>
    <n v="286.464278277228"/>
    <x v="14"/>
    <n v="16054857.254901901"/>
    <n v="9.9486080000000001"/>
  </r>
  <r>
    <n v="2013"/>
    <x v="2"/>
    <n v="27.9"/>
    <n v="8.75"/>
    <n v="286.464278277228"/>
    <x v="14"/>
    <n v="16054857.254901901"/>
    <n v="8.7190139999999996"/>
  </r>
  <r>
    <n v="2013"/>
    <x v="3"/>
    <n v="20.5"/>
    <n v="1.34"/>
    <n v="286.464278277228"/>
    <x v="14"/>
    <n v="16054857.254901901"/>
    <n v="1.3091345999999999"/>
  </r>
  <r>
    <n v="2013"/>
    <x v="20"/>
    <n v="22.9"/>
    <n v="3.32"/>
    <n v="286.464278277228"/>
    <x v="14"/>
    <n v="16054857.254901901"/>
    <n v="3.2640264000000001"/>
  </r>
  <r>
    <n v="2013"/>
    <x v="21"/>
    <n v="26.2"/>
    <n v="5.9"/>
    <n v="286.464278277228"/>
    <x v="14"/>
    <n v="16054857.254901901"/>
    <n v="5.7991805000000003"/>
  </r>
  <r>
    <n v="2013"/>
    <x v="22"/>
    <n v="25.1"/>
    <n v="4.4800000000000004"/>
    <n v="286.464278277228"/>
    <x v="14"/>
    <n v="16054857.254901901"/>
    <n v="4.5708776000000002"/>
  </r>
  <r>
    <n v="2013"/>
    <x v="23"/>
    <n v="25.4"/>
    <n v="6.14"/>
    <n v="286.464278277228"/>
    <x v="14"/>
    <n v="16054857.254901901"/>
    <n v="6.0239599999999998"/>
  </r>
  <r>
    <n v="2013"/>
    <x v="24"/>
    <n v="23.3"/>
    <n v="4.5199999999999996"/>
    <n v="286.464278277228"/>
    <x v="14"/>
    <n v="16054857.254901901"/>
    <n v="4.9843279999999996"/>
  </r>
  <r>
    <n v="2013"/>
    <x v="25"/>
    <n v="20.3"/>
    <n v="2.0699999999999998"/>
    <n v="286.464278277228"/>
    <x v="14"/>
    <n v="16054857.254901901"/>
    <n v="1.8926489"/>
  </r>
  <r>
    <n v="2013"/>
    <x v="26"/>
    <n v="24"/>
    <n v="4.3600000000000003"/>
    <n v="286.464278277228"/>
    <x v="14"/>
    <n v="16054857.254901901"/>
    <n v="4.3220505999999999"/>
  </r>
  <r>
    <n v="2013"/>
    <x v="36"/>
    <n v="28.1"/>
    <n v="6.52"/>
    <n v="286.464278277228"/>
    <x v="14"/>
    <n v="16054857.254901901"/>
    <n v="6.6394773000000002"/>
  </r>
  <r>
    <n v="2013"/>
    <x v="28"/>
    <n v="27.6"/>
    <n v="8.8000000000000007"/>
    <n v="286.464278277228"/>
    <x v="14"/>
    <n v="16054857.254901901"/>
    <n v="8.7640940000000001"/>
  </r>
  <r>
    <n v="2013"/>
    <x v="29"/>
    <n v="28.5"/>
    <n v="9.52"/>
    <n v="286.464278277228"/>
    <x v="14"/>
    <n v="16054857.254901901"/>
    <n v="9.2138819999999999"/>
  </r>
  <r>
    <n v="2013"/>
    <x v="30"/>
    <n v="25.7"/>
    <n v="7.03"/>
    <n v="286.464278277228"/>
    <x v="14"/>
    <n v="16054857.254901901"/>
    <n v="7.748729"/>
  </r>
  <r>
    <n v="2013"/>
    <x v="31"/>
    <n v="24.7"/>
    <n v="6.57"/>
    <n v="286.464278277228"/>
    <x v="14"/>
    <n v="16054857.254901901"/>
    <n v="6.5533700000000001"/>
  </r>
  <r>
    <n v="2013"/>
    <x v="32"/>
    <n v="24.9"/>
    <n v="3.46"/>
    <n v="286.464278277228"/>
    <x v="14"/>
    <n v="16054857.254901901"/>
    <n v="3.8514024999999998"/>
  </r>
  <r>
    <n v="2013"/>
    <x v="33"/>
    <n v="24.1"/>
    <n v="5.95"/>
    <n v="286.464278277228"/>
    <x v="14"/>
    <n v="16054857.254901901"/>
    <n v="5.7231310000000004"/>
  </r>
  <r>
    <n v="2013"/>
    <x v="34"/>
    <n v="21"/>
    <n v="3.1"/>
    <n v="286.464278277228"/>
    <x v="14"/>
    <n v="16054857.254901901"/>
    <n v="4.7682915000000001"/>
  </r>
  <r>
    <n v="2014"/>
    <x v="19"/>
    <n v="33.299999999999997"/>
    <n v="13.3"/>
    <n v="286.93826194214603"/>
    <x v="15"/>
    <n v="15961311.0555555"/>
    <n v="12.662792"/>
  </r>
  <r>
    <n v="2014"/>
    <x v="35"/>
    <n v="32.799999999999997"/>
    <n v="15.46"/>
    <n v="286.93826194214603"/>
    <x v="15"/>
    <n v="15961311.0555555"/>
    <n v="15.587012"/>
  </r>
  <r>
    <n v="2014"/>
    <x v="2"/>
    <n v="37.5"/>
    <n v="15.87"/>
    <n v="286.93826194214603"/>
    <x v="15"/>
    <n v="15961311.0555555"/>
    <n v="15.671246999999999"/>
  </r>
  <r>
    <n v="2014"/>
    <x v="3"/>
    <n v="23.4"/>
    <n v="1.45"/>
    <n v="286.93826194214603"/>
    <x v="15"/>
    <n v="15961311.0555555"/>
    <n v="1.3881673999999999"/>
  </r>
  <r>
    <n v="2014"/>
    <x v="20"/>
    <n v="27.7"/>
    <n v="4.25"/>
    <n v="286.93826194214603"/>
    <x v="15"/>
    <n v="15961311.0555555"/>
    <n v="4.3004756000000004"/>
  </r>
  <r>
    <n v="2014"/>
    <x v="21"/>
    <n v="33.700000000000003"/>
    <n v="7.77"/>
    <n v="286.93826194214603"/>
    <x v="15"/>
    <n v="15961311.0555555"/>
    <n v="7.7836949999999998"/>
  </r>
  <r>
    <n v="2014"/>
    <x v="22"/>
    <n v="35.5"/>
    <n v="9.8699999999999992"/>
    <n v="286.93826194214603"/>
    <x v="15"/>
    <n v="15961311.0555555"/>
    <n v="9.3348879999999994"/>
  </r>
  <r>
    <n v="2014"/>
    <x v="23"/>
    <n v="28.8"/>
    <n v="8.57"/>
    <n v="286.93826194214603"/>
    <x v="15"/>
    <n v="15961311.0555555"/>
    <n v="8.6732239999999994"/>
  </r>
  <r>
    <n v="2014"/>
    <x v="24"/>
    <n v="28.1"/>
    <n v="8.9600000000000009"/>
    <n v="286.93826194214603"/>
    <x v="15"/>
    <n v="15961311.0555555"/>
    <n v="8.9097399999999993"/>
  </r>
  <r>
    <n v="2014"/>
    <x v="25"/>
    <n v="23.5"/>
    <n v="2.79"/>
    <n v="286.93826194214603"/>
    <x v="15"/>
    <n v="15961311.0555555"/>
    <n v="2.7433743000000002"/>
  </r>
  <r>
    <n v="2014"/>
    <x v="26"/>
    <n v="27"/>
    <n v="4.3600000000000003"/>
    <n v="286.93826194214603"/>
    <x v="15"/>
    <n v="15961311.0555555"/>
    <n v="4.4262513999999999"/>
  </r>
  <r>
    <n v="2014"/>
    <x v="36"/>
    <n v="32.200000000000003"/>
    <n v="11.11"/>
    <n v="286.93826194214603"/>
    <x v="15"/>
    <n v="15961311.0555555"/>
    <n v="11.073884"/>
  </r>
  <r>
    <n v="2014"/>
    <x v="28"/>
    <n v="28.4"/>
    <n v="9.58"/>
    <n v="286.93826194214603"/>
    <x v="15"/>
    <n v="15961311.0555555"/>
    <n v="10.242133000000001"/>
  </r>
  <r>
    <n v="2014"/>
    <x v="29"/>
    <n v="35.1"/>
    <n v="11.33"/>
    <n v="286.93826194214603"/>
    <x v="15"/>
    <n v="15961311.0555555"/>
    <n v="12.04054"/>
  </r>
  <r>
    <n v="2014"/>
    <x v="30"/>
    <n v="27"/>
    <n v="10.06"/>
    <n v="286.93826194214603"/>
    <x v="15"/>
    <n v="15961311.0555555"/>
    <n v="10.001066"/>
  </r>
  <r>
    <n v="2014"/>
    <x v="31"/>
    <n v="26.9"/>
    <n v="8.59"/>
    <n v="286.93826194214603"/>
    <x v="15"/>
    <n v="15961311.0555555"/>
    <n v="8.7781310000000001"/>
  </r>
  <r>
    <n v="2014"/>
    <x v="32"/>
    <n v="29.6"/>
    <n v="8.99"/>
    <n v="286.93826194214603"/>
    <x v="15"/>
    <n v="15961311.0555555"/>
    <n v="8.9390619999999998"/>
  </r>
  <r>
    <n v="2014"/>
    <x v="33"/>
    <n v="29.8"/>
    <n v="8.98"/>
    <n v="286.93826194214603"/>
    <x v="15"/>
    <n v="15961311.0555555"/>
    <n v="8.9532500000000006"/>
  </r>
  <r>
    <n v="2014"/>
    <x v="34"/>
    <n v="26.6"/>
    <n v="4.53"/>
    <n v="286.93826194214603"/>
    <x v="15"/>
    <n v="15961311.0555555"/>
    <n v="8.6857439999999997"/>
  </r>
  <r>
    <n v="2015"/>
    <x v="19"/>
    <n v="25"/>
    <n v="14.31"/>
    <n v="285.79762716854299"/>
    <x v="16"/>
    <n v="15608729.183006501"/>
    <n v="14.19483"/>
  </r>
  <r>
    <n v="2015"/>
    <x v="35"/>
    <n v="27.1"/>
    <n v="16.61"/>
    <n v="285.79762716854299"/>
    <x v="16"/>
    <n v="15608729.183006501"/>
    <n v="16.51051"/>
  </r>
  <r>
    <n v="2015"/>
    <x v="2"/>
    <n v="26.9"/>
    <n v="12.12"/>
    <n v="285.79762716854299"/>
    <x v="16"/>
    <n v="15608729.183006501"/>
    <n v="12.341585"/>
  </r>
  <r>
    <n v="2015"/>
    <x v="3"/>
    <n v="22"/>
    <n v="2.63"/>
    <n v="285.79762716854299"/>
    <x v="16"/>
    <n v="15608729.183006501"/>
    <n v="2.8274252"/>
  </r>
  <r>
    <n v="2015"/>
    <x v="20"/>
    <n v="23.4"/>
    <n v="4.05"/>
    <n v="285.79762716854299"/>
    <x v="16"/>
    <n v="15608729.183006501"/>
    <n v="4.296278"/>
  </r>
  <r>
    <n v="2015"/>
    <x v="21"/>
    <n v="23.4"/>
    <n v="7.13"/>
    <n v="285.79762716854299"/>
    <x v="16"/>
    <n v="15608729.183006501"/>
    <n v="7.2858714999999998"/>
  </r>
  <r>
    <n v="2015"/>
    <x v="22"/>
    <n v="24"/>
    <n v="8.8800000000000008"/>
    <n v="285.79762716854299"/>
    <x v="16"/>
    <n v="15608729.183006501"/>
    <n v="9.1700429999999997"/>
  </r>
  <r>
    <n v="2015"/>
    <x v="23"/>
    <n v="21.6"/>
    <n v="10.85"/>
    <n v="285.79762716854299"/>
    <x v="16"/>
    <n v="15608729.183006501"/>
    <n v="11.000622999999999"/>
  </r>
  <r>
    <n v="2015"/>
    <x v="24"/>
    <n v="20.8"/>
    <n v="10.119999999999999"/>
    <n v="285.79762716854299"/>
    <x v="16"/>
    <n v="15608729.183006501"/>
    <n v="10.008817000000001"/>
  </r>
  <r>
    <n v="2015"/>
    <x v="25"/>
    <n v="20"/>
    <n v="2.83"/>
    <n v="285.79762716854299"/>
    <x v="16"/>
    <n v="15608729.183006501"/>
    <n v="2.8513204999999999"/>
  </r>
  <r>
    <n v="2015"/>
    <x v="26"/>
    <n v="21"/>
    <n v="7.71"/>
    <n v="285.79762716854299"/>
    <x v="16"/>
    <n v="15608729.183006501"/>
    <n v="7.7492890000000001"/>
  </r>
  <r>
    <n v="2015"/>
    <x v="36"/>
    <n v="24.1"/>
    <n v="14.64"/>
    <n v="285.79762716854299"/>
    <x v="16"/>
    <n v="15608729.183006501"/>
    <n v="14.458561"/>
  </r>
  <r>
    <n v="2015"/>
    <x v="28"/>
    <n v="24.8"/>
    <n v="15"/>
    <n v="285.79762716854299"/>
    <x v="16"/>
    <n v="15608729.183006501"/>
    <n v="14.863243000000001"/>
  </r>
  <r>
    <n v="2015"/>
    <x v="29"/>
    <n v="24.6"/>
    <n v="14.47"/>
    <n v="285.79762716854299"/>
    <x v="16"/>
    <n v="15608729.183006501"/>
    <n v="14.117018"/>
  </r>
  <r>
    <n v="2015"/>
    <x v="30"/>
    <n v="22.8"/>
    <n v="13.15"/>
    <n v="285.79762716854299"/>
    <x v="16"/>
    <n v="15608729.183006501"/>
    <n v="12.996346000000001"/>
  </r>
  <r>
    <n v="2015"/>
    <x v="31"/>
    <n v="22.6"/>
    <n v="14.18"/>
    <n v="285.79762716854299"/>
    <x v="16"/>
    <n v="15608729.183006501"/>
    <n v="13.956877"/>
  </r>
  <r>
    <n v="2015"/>
    <x v="32"/>
    <n v="22.7"/>
    <n v="12.35"/>
    <n v="285.79762716854299"/>
    <x v="16"/>
    <n v="15608729.183006501"/>
    <n v="12.136566"/>
  </r>
  <r>
    <n v="2015"/>
    <x v="33"/>
    <n v="24.9"/>
    <n v="11.94"/>
    <n v="285.79762716854299"/>
    <x v="16"/>
    <n v="15608729.183006501"/>
    <n v="12.403366999999999"/>
  </r>
  <r>
    <n v="2015"/>
    <x v="34"/>
    <n v="19.2"/>
    <n v="5.0999999999999996"/>
    <n v="285.79762716854299"/>
    <x v="16"/>
    <n v="15608729.183006501"/>
    <n v="5.2789945999999999"/>
  </r>
  <r>
    <n v="2016"/>
    <x v="19"/>
    <n v="31.9"/>
    <n v="12.57"/>
    <n v="271.09802525339501"/>
    <x v="17"/>
    <n v="15475528.1470588"/>
    <n v="12.540792"/>
  </r>
  <r>
    <n v="2016"/>
    <x v="35"/>
    <n v="30.1"/>
    <n v="9.43"/>
    <n v="271.09802525339501"/>
    <x v="17"/>
    <n v="15475528.1470588"/>
    <n v="9.4379500000000007"/>
  </r>
  <r>
    <n v="2016"/>
    <x v="2"/>
    <n v="36.299999999999997"/>
    <n v="8.66"/>
    <n v="271.09802525339501"/>
    <x v="17"/>
    <n v="15475528.1470588"/>
    <n v="8.6992480000000008"/>
  </r>
  <r>
    <n v="2016"/>
    <x v="3"/>
    <n v="24.1"/>
    <n v="0.8"/>
    <n v="271.09802525339501"/>
    <x v="17"/>
    <n v="15475528.1470588"/>
    <n v="2.3430111"/>
  </r>
  <r>
    <n v="2016"/>
    <x v="20"/>
    <n v="29.1"/>
    <n v="2.33"/>
    <n v="271.09802525339501"/>
    <x v="17"/>
    <n v="15475528.1470588"/>
    <n v="2.0653320000000002"/>
  </r>
  <r>
    <n v="2016"/>
    <x v="21"/>
    <n v="32.799999999999997"/>
    <n v="4.3600000000000003"/>
    <n v="271.09802525339501"/>
    <x v="17"/>
    <n v="15475528.1470588"/>
    <n v="4.105003"/>
  </r>
  <r>
    <n v="2016"/>
    <x v="22"/>
    <n v="32"/>
    <n v="4.95"/>
    <n v="271.09802525339501"/>
    <x v="17"/>
    <n v="15475528.1470588"/>
    <n v="4.9275393000000003"/>
  </r>
  <r>
    <n v="2016"/>
    <x v="23"/>
    <n v="28.8"/>
    <n v="5.47"/>
    <n v="271.09802525339501"/>
    <x v="17"/>
    <n v="15475528.1470588"/>
    <n v="5.4252260000000003"/>
  </r>
  <r>
    <n v="2016"/>
    <x v="24"/>
    <n v="31.5"/>
    <n v="5.4"/>
    <n v="271.09802525339501"/>
    <x v="17"/>
    <n v="15475528.1470588"/>
    <n v="5.5466704"/>
  </r>
  <r>
    <n v="2016"/>
    <x v="25"/>
    <n v="21.8"/>
    <n v="3.8"/>
    <n v="271.09802525339501"/>
    <x v="17"/>
    <n v="15475528.1470588"/>
    <n v="3.8727502999999999"/>
  </r>
  <r>
    <n v="2016"/>
    <x v="26"/>
    <n v="24.5"/>
    <n v="3.15"/>
    <n v="271.09802525339501"/>
    <x v="17"/>
    <n v="15475528.1470588"/>
    <n v="3.0756822000000001"/>
  </r>
  <r>
    <n v="2016"/>
    <x v="36"/>
    <n v="27.4"/>
    <n v="5.74"/>
    <n v="271.09802525339501"/>
    <x v="17"/>
    <n v="15475528.1470588"/>
    <n v="7.3258979999999996"/>
  </r>
  <r>
    <n v="2016"/>
    <x v="28"/>
    <n v="28.4"/>
    <n v="6.82"/>
    <n v="271.09802525339501"/>
    <x v="17"/>
    <n v="15475528.1470588"/>
    <n v="7.0772395000000001"/>
  </r>
  <r>
    <n v="2016"/>
    <x v="29"/>
    <n v="32.9"/>
    <n v="7.29"/>
    <n v="271.09802525339501"/>
    <x v="17"/>
    <n v="15475528.1470588"/>
    <n v="7.2720737"/>
  </r>
  <r>
    <n v="2016"/>
    <x v="30"/>
    <n v="29.2"/>
    <n v="5.77"/>
    <n v="271.09802525339501"/>
    <x v="17"/>
    <n v="15475528.1470588"/>
    <n v="5.8270819999999999"/>
  </r>
  <r>
    <n v="2016"/>
    <x v="31"/>
    <n v="29.4"/>
    <n v="6.02"/>
    <n v="271.09802525339501"/>
    <x v="17"/>
    <n v="15475528.1470588"/>
    <n v="6.0287876000000002"/>
  </r>
  <r>
    <n v="2016"/>
    <x v="32"/>
    <n v="29"/>
    <n v="4.92"/>
    <n v="271.09802525339501"/>
    <x v="17"/>
    <n v="15475528.1470588"/>
    <n v="4.9999513999999996"/>
  </r>
  <r>
    <n v="2016"/>
    <x v="33"/>
    <n v="33.4"/>
    <n v="7.89"/>
    <n v="271.09802525339501"/>
    <x v="17"/>
    <n v="15475528.1470588"/>
    <n v="7.989134"/>
  </r>
  <r>
    <n v="2016"/>
    <x v="34"/>
    <n v="31.6"/>
    <n v="4.68"/>
    <n v="271.09802525339501"/>
    <x v="17"/>
    <n v="15475528.1470588"/>
    <n v="3.3838110000000001"/>
  </r>
  <r>
    <n v="2017"/>
    <x v="19"/>
    <n v="27.5"/>
    <n v="11.02"/>
    <n v="286.78263186785102"/>
    <x v="18"/>
    <n v="15346935.022875801"/>
    <n v="11.676190999999999"/>
  </r>
  <r>
    <n v="2017"/>
    <x v="35"/>
    <n v="28.5"/>
    <n v="14.4"/>
    <n v="286.78263186785102"/>
    <x v="18"/>
    <n v="15346935.022875801"/>
    <n v="14.426494999999999"/>
  </r>
  <r>
    <n v="2017"/>
    <x v="2"/>
    <n v="36.200000000000003"/>
    <n v="17.829999999999998"/>
    <n v="286.78263186785102"/>
    <x v="18"/>
    <n v="15346935.022875801"/>
    <n v="10.789814"/>
  </r>
  <r>
    <n v="2017"/>
    <x v="3"/>
    <n v="20.2"/>
    <n v="1.95"/>
    <n v="286.78263186785102"/>
    <x v="18"/>
    <n v="15346935.022875801"/>
    <n v="1.9744771999999999"/>
  </r>
  <r>
    <n v="2017"/>
    <x v="20"/>
    <n v="27.3"/>
    <n v="5.01"/>
    <n v="286.78263186785102"/>
    <x v="18"/>
    <n v="15346935.022875801"/>
    <n v="5.0167327000000004"/>
  </r>
  <r>
    <n v="2017"/>
    <x v="21"/>
    <n v="28.5"/>
    <n v="8.6999999999999993"/>
    <n v="286.78263186785102"/>
    <x v="18"/>
    <n v="15346935.022875801"/>
    <n v="8.6169899999999995"/>
  </r>
  <r>
    <n v="2017"/>
    <x v="22"/>
    <n v="26.2"/>
    <n v="10.92"/>
    <n v="286.78263186785102"/>
    <x v="18"/>
    <n v="15346935.022875801"/>
    <n v="10.958046"/>
  </r>
  <r>
    <n v="2017"/>
    <x v="23"/>
    <n v="23.7"/>
    <n v="11.17"/>
    <n v="286.78263186785102"/>
    <x v="18"/>
    <n v="15346935.022875801"/>
    <n v="11.145265999999999"/>
  </r>
  <r>
    <n v="2017"/>
    <x v="24"/>
    <n v="24.3"/>
    <n v="10.98"/>
    <n v="286.78263186785102"/>
    <x v="18"/>
    <n v="15346935.022875801"/>
    <n v="11.192518"/>
  </r>
  <r>
    <n v="2017"/>
    <x v="25"/>
    <n v="21.6"/>
    <n v="4.22"/>
    <n v="286.78263186785102"/>
    <x v="18"/>
    <n v="15346935.022875801"/>
    <n v="4.2261160000000002"/>
  </r>
  <r>
    <n v="2017"/>
    <x v="26"/>
    <n v="22"/>
    <n v="6.49"/>
    <n v="286.78263186785102"/>
    <x v="18"/>
    <n v="15346935.022875801"/>
    <n v="6.4767419999999998"/>
  </r>
  <r>
    <n v="2017"/>
    <x v="36"/>
    <n v="25.9"/>
    <n v="14.21"/>
    <n v="286.78263186785102"/>
    <x v="18"/>
    <n v="15346935.022875801"/>
    <n v="14.1513405"/>
  </r>
  <r>
    <n v="2017"/>
    <x v="28"/>
    <n v="27"/>
    <n v="14.45"/>
    <n v="286.78263186785102"/>
    <x v="18"/>
    <n v="15346935.022875801"/>
    <n v="14.377050000000001"/>
  </r>
  <r>
    <n v="2017"/>
    <x v="29"/>
    <n v="26.1"/>
    <n v="14.08"/>
    <n v="286.78263186785102"/>
    <x v="18"/>
    <n v="15346935.022875801"/>
    <n v="13.865193"/>
  </r>
  <r>
    <n v="2017"/>
    <x v="30"/>
    <n v="24.8"/>
    <n v="12.89"/>
    <n v="286.78263186785102"/>
    <x v="18"/>
    <n v="15346935.022875801"/>
    <n v="12.832138"/>
  </r>
  <r>
    <n v="2017"/>
    <x v="31"/>
    <n v="24.4"/>
    <n v="12.91"/>
    <n v="286.78263186785102"/>
    <x v="18"/>
    <n v="15346935.022875801"/>
    <n v="11.387790000000001"/>
  </r>
  <r>
    <n v="2017"/>
    <x v="32"/>
    <n v="25.1"/>
    <n v="10.79"/>
    <n v="286.78263186785102"/>
    <x v="18"/>
    <n v="15346935.022875801"/>
    <n v="10.768079"/>
  </r>
  <r>
    <n v="2017"/>
    <x v="33"/>
    <n v="26.1"/>
    <n v="12.79"/>
    <n v="286.78263186785102"/>
    <x v="18"/>
    <n v="15346935.022875801"/>
    <n v="12.805128"/>
  </r>
  <r>
    <n v="2017"/>
    <x v="34"/>
    <n v="23.3"/>
    <n v="7.2"/>
    <n v="286.78263186785102"/>
    <x v="18"/>
    <n v="15346935.022875801"/>
    <n v="7.082131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A6673-1433-4C87-8C7C-AA3F2831267D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Fertilizer Code">
  <location ref="E15:F25" firstHeaderRow="1" firstDataRow="1" firstDataCol="1"/>
  <pivotFields count="8">
    <pivotField showAll="0"/>
    <pivotField axis="axisRow" showAll="0" measureFilter="1" sortType="ascending">
      <items count="38">
        <item x="18"/>
        <item x="19"/>
        <item x="20"/>
        <item x="2"/>
        <item x="1"/>
        <item x="35"/>
        <item x="0"/>
        <item x="16"/>
        <item x="21"/>
        <item x="34"/>
        <item x="33"/>
        <item x="17"/>
        <item x="27"/>
        <item x="36"/>
        <item x="32"/>
        <item x="5"/>
        <item x="9"/>
        <item x="22"/>
        <item x="10"/>
        <item x="12"/>
        <item x="6"/>
        <item x="13"/>
        <item x="11"/>
        <item x="23"/>
        <item x="7"/>
        <item x="25"/>
        <item x="24"/>
        <item x="28"/>
        <item x="29"/>
        <item x="8"/>
        <item x="26"/>
        <item x="30"/>
        <item x="14"/>
        <item x="31"/>
        <item x="1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0">
    <i>
      <x v="26"/>
    </i>
    <i>
      <x v="31"/>
    </i>
    <i>
      <x v="33"/>
    </i>
    <i>
      <x v="23"/>
    </i>
    <i>
      <x v="10"/>
    </i>
    <i>
      <x v="27"/>
    </i>
    <i>
      <x v="5"/>
    </i>
    <i>
      <x v="28"/>
    </i>
    <i>
      <x v="1"/>
    </i>
    <i>
      <x v="3"/>
    </i>
  </rowItems>
  <colItems count="1">
    <i/>
  </colItems>
  <dataFields count="1">
    <dataField name="Actual Yield" fld="3" baseField="0" baseItem="0"/>
  </dataFields>
  <formats count="4"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1" count="10">
            <x v="1"/>
            <x v="3"/>
            <x v="5"/>
            <x v="10"/>
            <x v="23"/>
            <x v="26"/>
            <x v="27"/>
            <x v="28"/>
            <x v="31"/>
            <x v="33"/>
          </reference>
        </references>
      </pivotArea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AC4E4-C491-461C-A6F7-BE163223755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J2" firstHeaderRow="0" firstDataRow="1" firstDataCol="0"/>
  <pivotFields count="8">
    <pivotField showAll="0"/>
    <pivotField showAll="0">
      <items count="38">
        <item x="18"/>
        <item x="19"/>
        <item x="20"/>
        <item x="2"/>
        <item x="1"/>
        <item x="35"/>
        <item x="0"/>
        <item x="16"/>
        <item x="21"/>
        <item x="34"/>
        <item x="33"/>
        <item x="17"/>
        <item x="27"/>
        <item x="36"/>
        <item x="32"/>
        <item x="5"/>
        <item x="9"/>
        <item x="22"/>
        <item x="10"/>
        <item x="12"/>
        <item x="6"/>
        <item x="13"/>
        <item x="11"/>
        <item x="23"/>
        <item x="7"/>
        <item x="25"/>
        <item x="24"/>
        <item x="28"/>
        <item x="29"/>
        <item x="8"/>
        <item x="26"/>
        <item x="30"/>
        <item x="14"/>
        <item x="31"/>
        <item x="15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g Actual Yield" fld="3" subtotal="average" baseField="0" baseItem="0" numFmtId="2"/>
    <dataField name="Max Actual Yield" fld="3" subtotal="max" baseField="0" baseItem="0"/>
    <dataField name="Avg Predicted Yield" fld="7" subtotal="average" baseField="0" baseItem="0" numFmtId="2"/>
  </dataFields>
  <formats count="3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F460-142C-4F8A-AB8C-785175EE94E9}">
  <dimension ref="A1:H362"/>
  <sheetViews>
    <sheetView workbookViewId="0">
      <selection activeCell="G16" sqref="G16"/>
    </sheetView>
  </sheetViews>
  <sheetFormatPr defaultRowHeight="15" x14ac:dyDescent="0.25"/>
  <cols>
    <col min="1" max="1" width="6.140625" bestFit="1" customWidth="1"/>
    <col min="2" max="2" width="14.5703125" bestFit="1" customWidth="1"/>
    <col min="3" max="3" width="11.28515625" bestFit="1" customWidth="1"/>
    <col min="4" max="4" width="12.5703125" bestFit="1" customWidth="1"/>
    <col min="5" max="5" width="12.7109375" bestFit="1" customWidth="1"/>
    <col min="6" max="6" width="14.42578125" bestFit="1" customWidth="1"/>
    <col min="7" max="7" width="14.7109375" bestFit="1" customWidth="1"/>
    <col min="8" max="8" width="12.7109375" bestFit="1" customWidth="1"/>
    <col min="10" max="10" width="12.5703125" bestFit="1" customWidth="1"/>
    <col min="15" max="15" width="1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1997</v>
      </c>
      <c r="B2" t="s">
        <v>8</v>
      </c>
      <c r="C2">
        <v>41.3</v>
      </c>
      <c r="D2">
        <v>286.63785597857299</v>
      </c>
      <c r="E2">
        <v>408.052416518097</v>
      </c>
      <c r="F2">
        <v>16169909.0424836</v>
      </c>
      <c r="G2">
        <v>18.393986000000002</v>
      </c>
      <c r="H2">
        <v>18.5</v>
      </c>
    </row>
    <row r="3" spans="1:8" x14ac:dyDescent="0.25">
      <c r="A3">
        <v>1997</v>
      </c>
      <c r="B3" t="s">
        <v>9</v>
      </c>
      <c r="C3">
        <v>39.200000000000003</v>
      </c>
      <c r="D3">
        <v>286.63785597857299</v>
      </c>
      <c r="E3">
        <v>408.052416518097</v>
      </c>
      <c r="F3">
        <v>16169909.0424836</v>
      </c>
      <c r="G3">
        <v>14.986387000000001</v>
      </c>
      <c r="H3">
        <v>14.86</v>
      </c>
    </row>
    <row r="4" spans="1:8" x14ac:dyDescent="0.25">
      <c r="A4">
        <v>1997</v>
      </c>
      <c r="B4" t="s">
        <v>10</v>
      </c>
      <c r="C4">
        <v>39.1</v>
      </c>
      <c r="D4">
        <v>286.63785597857299</v>
      </c>
      <c r="E4">
        <v>408.052416518097</v>
      </c>
      <c r="F4">
        <v>16169909.0424836</v>
      </c>
      <c r="G4">
        <v>14.9476385</v>
      </c>
      <c r="H4">
        <v>14.97</v>
      </c>
    </row>
    <row r="5" spans="1:8" x14ac:dyDescent="0.25">
      <c r="A5">
        <v>1997</v>
      </c>
      <c r="B5" t="s">
        <v>11</v>
      </c>
      <c r="C5">
        <v>38.9</v>
      </c>
      <c r="D5">
        <v>286.63785597857299</v>
      </c>
      <c r="E5">
        <v>408.052416518097</v>
      </c>
      <c r="F5">
        <v>16169909.0424836</v>
      </c>
      <c r="G5">
        <v>17.177177</v>
      </c>
      <c r="H5">
        <v>18.72</v>
      </c>
    </row>
    <row r="6" spans="1:8" x14ac:dyDescent="0.25">
      <c r="A6">
        <v>1997</v>
      </c>
      <c r="B6" t="s">
        <v>12</v>
      </c>
      <c r="C6">
        <v>38.799999999999997</v>
      </c>
      <c r="D6">
        <v>286.63785597857299</v>
      </c>
      <c r="E6">
        <v>408.052416518097</v>
      </c>
      <c r="F6">
        <v>16169909.0424836</v>
      </c>
      <c r="G6">
        <v>18.483519999999999</v>
      </c>
      <c r="H6">
        <v>18.62</v>
      </c>
    </row>
    <row r="7" spans="1:8" x14ac:dyDescent="0.25">
      <c r="A7">
        <v>1997</v>
      </c>
      <c r="B7" t="s">
        <v>13</v>
      </c>
      <c r="C7">
        <v>38.299999999999997</v>
      </c>
      <c r="D7">
        <v>286.63785597857299</v>
      </c>
      <c r="E7">
        <v>408.052416518097</v>
      </c>
      <c r="F7">
        <v>16169909.0424836</v>
      </c>
      <c r="G7">
        <v>15.512702000000001</v>
      </c>
      <c r="H7">
        <v>15.52</v>
      </c>
    </row>
    <row r="8" spans="1:8" x14ac:dyDescent="0.25">
      <c r="A8">
        <v>1997</v>
      </c>
      <c r="B8" t="s">
        <v>14</v>
      </c>
      <c r="C8">
        <v>37.4</v>
      </c>
      <c r="D8">
        <v>286.63785597857299</v>
      </c>
      <c r="E8">
        <v>408.052416518097</v>
      </c>
      <c r="F8">
        <v>16169909.0424836</v>
      </c>
      <c r="G8">
        <v>17.508182999999999</v>
      </c>
      <c r="H8">
        <v>17.53</v>
      </c>
    </row>
    <row r="9" spans="1:8" x14ac:dyDescent="0.25">
      <c r="A9">
        <v>1997</v>
      </c>
      <c r="B9" t="s">
        <v>15</v>
      </c>
      <c r="C9">
        <v>36.700000000000003</v>
      </c>
      <c r="D9">
        <v>286.63785597857299</v>
      </c>
      <c r="E9">
        <v>408.052416518097</v>
      </c>
      <c r="F9">
        <v>16169909.0424836</v>
      </c>
      <c r="G9">
        <v>16.554327000000001</v>
      </c>
      <c r="H9">
        <v>16.36</v>
      </c>
    </row>
    <row r="10" spans="1:8" x14ac:dyDescent="0.25">
      <c r="A10">
        <v>1997</v>
      </c>
      <c r="B10" t="s">
        <v>16</v>
      </c>
      <c r="C10">
        <v>36.5</v>
      </c>
      <c r="D10">
        <v>286.63785597857299</v>
      </c>
      <c r="E10">
        <v>408.052416518097</v>
      </c>
      <c r="F10">
        <v>16169909.0424836</v>
      </c>
      <c r="G10">
        <v>16.292158000000001</v>
      </c>
      <c r="H10">
        <v>16.350000000000001</v>
      </c>
    </row>
    <row r="11" spans="1:8" x14ac:dyDescent="0.25">
      <c r="A11">
        <v>1997</v>
      </c>
      <c r="B11" t="s">
        <v>17</v>
      </c>
      <c r="C11">
        <v>36.299999999999997</v>
      </c>
      <c r="D11">
        <v>286.63785597857299</v>
      </c>
      <c r="E11">
        <v>408.052416518097</v>
      </c>
      <c r="F11">
        <v>16169909.0424836</v>
      </c>
      <c r="G11">
        <v>15.816012000000001</v>
      </c>
      <c r="H11">
        <v>15.81</v>
      </c>
    </row>
    <row r="12" spans="1:8" x14ac:dyDescent="0.25">
      <c r="A12">
        <v>1997</v>
      </c>
      <c r="B12" t="s">
        <v>18</v>
      </c>
      <c r="C12">
        <v>36.1</v>
      </c>
      <c r="D12">
        <v>286.63785597857299</v>
      </c>
      <c r="E12">
        <v>408.052416518097</v>
      </c>
      <c r="F12">
        <v>16169909.0424836</v>
      </c>
      <c r="G12">
        <v>14.538385</v>
      </c>
      <c r="H12">
        <v>11.85</v>
      </c>
    </row>
    <row r="13" spans="1:8" x14ac:dyDescent="0.25">
      <c r="A13">
        <v>1997</v>
      </c>
      <c r="B13" t="s">
        <v>19</v>
      </c>
      <c r="C13">
        <v>35.799999999999997</v>
      </c>
      <c r="D13">
        <v>286.63785597857299</v>
      </c>
      <c r="E13">
        <v>408.052416518097</v>
      </c>
      <c r="F13">
        <v>16169909.0424836</v>
      </c>
      <c r="G13">
        <v>17.436323000000002</v>
      </c>
      <c r="H13">
        <v>17.45</v>
      </c>
    </row>
    <row r="14" spans="1:8" x14ac:dyDescent="0.25">
      <c r="A14">
        <v>1997</v>
      </c>
      <c r="B14" t="s">
        <v>20</v>
      </c>
      <c r="C14">
        <v>35.299999999999997</v>
      </c>
      <c r="D14">
        <v>286.63785597857299</v>
      </c>
      <c r="E14">
        <v>408.052416518097</v>
      </c>
      <c r="F14">
        <v>16169909.0424836</v>
      </c>
      <c r="G14">
        <v>8.7203269999999993</v>
      </c>
      <c r="H14">
        <v>8.73</v>
      </c>
    </row>
    <row r="15" spans="1:8" x14ac:dyDescent="0.25">
      <c r="A15">
        <v>1997</v>
      </c>
      <c r="B15" t="s">
        <v>21</v>
      </c>
      <c r="C15">
        <v>34.299999999999997</v>
      </c>
      <c r="D15">
        <v>286.63785597857299</v>
      </c>
      <c r="E15">
        <v>408.052416518097</v>
      </c>
      <c r="F15">
        <v>16169909.0424836</v>
      </c>
      <c r="G15">
        <v>15.818585000000001</v>
      </c>
      <c r="H15">
        <v>15.85</v>
      </c>
    </row>
    <row r="16" spans="1:8" x14ac:dyDescent="0.25">
      <c r="A16">
        <v>1997</v>
      </c>
      <c r="B16" t="s">
        <v>22</v>
      </c>
      <c r="C16">
        <v>33.299999999999997</v>
      </c>
      <c r="D16">
        <v>286.63785597857299</v>
      </c>
      <c r="E16">
        <v>408.052416518097</v>
      </c>
      <c r="F16">
        <v>16169909.0424836</v>
      </c>
      <c r="G16">
        <v>6.554405</v>
      </c>
      <c r="H16">
        <v>6.46</v>
      </c>
    </row>
    <row r="17" spans="1:8" x14ac:dyDescent="0.25">
      <c r="A17">
        <v>1997</v>
      </c>
      <c r="B17" t="s">
        <v>23</v>
      </c>
      <c r="C17">
        <v>33.200000000000003</v>
      </c>
      <c r="D17">
        <v>286.63785597857299</v>
      </c>
      <c r="E17">
        <v>408.052416518097</v>
      </c>
      <c r="F17">
        <v>16169909.0424836</v>
      </c>
      <c r="G17">
        <v>5.3897360000000001</v>
      </c>
      <c r="H17">
        <v>5.44</v>
      </c>
    </row>
    <row r="18" spans="1:8" x14ac:dyDescent="0.25">
      <c r="A18">
        <v>1997</v>
      </c>
      <c r="B18" t="s">
        <v>24</v>
      </c>
      <c r="C18">
        <v>32</v>
      </c>
      <c r="D18">
        <v>286.63785597857299</v>
      </c>
      <c r="E18">
        <v>408.052416518097</v>
      </c>
      <c r="F18">
        <v>16169909.0424836</v>
      </c>
      <c r="G18">
        <v>10.787226</v>
      </c>
      <c r="H18">
        <v>5.77</v>
      </c>
    </row>
    <row r="19" spans="1:8" x14ac:dyDescent="0.25">
      <c r="A19">
        <v>1997</v>
      </c>
      <c r="B19" t="s">
        <v>25</v>
      </c>
      <c r="C19">
        <v>31.7</v>
      </c>
      <c r="D19">
        <v>286.63785597857299</v>
      </c>
      <c r="E19">
        <v>408.052416518097</v>
      </c>
      <c r="F19">
        <v>16169909.0424836</v>
      </c>
      <c r="G19">
        <v>7.7996939999999997</v>
      </c>
      <c r="H19">
        <v>3.64</v>
      </c>
    </row>
    <row r="20" spans="1:8" x14ac:dyDescent="0.25">
      <c r="A20">
        <v>1997</v>
      </c>
      <c r="B20" t="s">
        <v>26</v>
      </c>
      <c r="C20">
        <v>31.3</v>
      </c>
      <c r="D20">
        <v>286.63785597857299</v>
      </c>
      <c r="E20">
        <v>408.052416518097</v>
      </c>
      <c r="F20">
        <v>16169909.0424836</v>
      </c>
      <c r="G20">
        <v>4.6954618000000004</v>
      </c>
      <c r="H20">
        <v>4.8</v>
      </c>
    </row>
    <row r="21" spans="1:8" x14ac:dyDescent="0.25">
      <c r="A21">
        <v>1998</v>
      </c>
      <c r="B21" t="s">
        <v>15</v>
      </c>
      <c r="C21">
        <v>25.9</v>
      </c>
      <c r="D21">
        <v>286.30274155560602</v>
      </c>
      <c r="E21">
        <v>414.80401429533902</v>
      </c>
      <c r="F21">
        <v>15079114.0392156</v>
      </c>
      <c r="G21">
        <v>15.350479999999999</v>
      </c>
      <c r="H21">
        <v>15.38</v>
      </c>
    </row>
    <row r="22" spans="1:8" x14ac:dyDescent="0.25">
      <c r="A22">
        <v>1998</v>
      </c>
      <c r="B22" t="s">
        <v>19</v>
      </c>
      <c r="C22">
        <v>29.1</v>
      </c>
      <c r="D22">
        <v>286.30274155560602</v>
      </c>
      <c r="E22">
        <v>414.80401429533902</v>
      </c>
      <c r="F22">
        <v>15079114.0392156</v>
      </c>
      <c r="G22">
        <v>17.560279999999999</v>
      </c>
      <c r="H22">
        <v>17.79</v>
      </c>
    </row>
    <row r="23" spans="1:8" x14ac:dyDescent="0.25">
      <c r="A23">
        <v>1998</v>
      </c>
      <c r="B23" t="s">
        <v>14</v>
      </c>
      <c r="C23">
        <v>30.2</v>
      </c>
      <c r="D23">
        <v>286.30274155560602</v>
      </c>
      <c r="E23">
        <v>414.80401429533902</v>
      </c>
      <c r="F23">
        <v>15079114.0392156</v>
      </c>
      <c r="G23">
        <v>15.080299</v>
      </c>
      <c r="H23">
        <v>14.91</v>
      </c>
    </row>
    <row r="24" spans="1:8" x14ac:dyDescent="0.25">
      <c r="A24">
        <v>1998</v>
      </c>
      <c r="B24" t="s">
        <v>25</v>
      </c>
      <c r="C24">
        <v>23.9</v>
      </c>
      <c r="D24">
        <v>286.30274155560602</v>
      </c>
      <c r="E24">
        <v>414.80401429533902</v>
      </c>
      <c r="F24">
        <v>15079114.0392156</v>
      </c>
      <c r="G24">
        <v>6.3376340000000004</v>
      </c>
      <c r="H24">
        <v>3.08</v>
      </c>
    </row>
    <row r="25" spans="1:8" x14ac:dyDescent="0.25">
      <c r="A25">
        <v>1998</v>
      </c>
      <c r="B25" t="s">
        <v>26</v>
      </c>
      <c r="C25">
        <v>26.9</v>
      </c>
      <c r="D25">
        <v>286.30274155560602</v>
      </c>
      <c r="E25">
        <v>414.80401429533902</v>
      </c>
      <c r="F25">
        <v>15079114.0392156</v>
      </c>
      <c r="G25">
        <v>4.4460616000000002</v>
      </c>
      <c r="H25">
        <v>4.29</v>
      </c>
    </row>
    <row r="26" spans="1:8" x14ac:dyDescent="0.25">
      <c r="A26">
        <v>1998</v>
      </c>
      <c r="B26" t="s">
        <v>18</v>
      </c>
      <c r="C26">
        <v>27.6</v>
      </c>
      <c r="D26">
        <v>286.30274155560602</v>
      </c>
      <c r="E26">
        <v>414.80401429533902</v>
      </c>
      <c r="F26">
        <v>15079114.0392156</v>
      </c>
      <c r="G26">
        <v>9.361834</v>
      </c>
      <c r="H26">
        <v>9.52</v>
      </c>
    </row>
    <row r="27" spans="1:8" x14ac:dyDescent="0.25">
      <c r="A27">
        <v>1998</v>
      </c>
      <c r="B27" t="s">
        <v>9</v>
      </c>
      <c r="C27">
        <v>28.5</v>
      </c>
      <c r="D27">
        <v>286.30274155560602</v>
      </c>
      <c r="E27">
        <v>414.80401429533902</v>
      </c>
      <c r="F27">
        <v>15079114.0392156</v>
      </c>
      <c r="G27">
        <v>14.549086000000001</v>
      </c>
      <c r="H27">
        <v>13.53</v>
      </c>
    </row>
    <row r="28" spans="1:8" x14ac:dyDescent="0.25">
      <c r="A28">
        <v>1998</v>
      </c>
      <c r="B28" t="s">
        <v>12</v>
      </c>
      <c r="C28">
        <v>26.2</v>
      </c>
      <c r="D28">
        <v>286.30274155560602</v>
      </c>
      <c r="E28">
        <v>414.80401429533902</v>
      </c>
      <c r="F28">
        <v>15079114.0392156</v>
      </c>
      <c r="G28">
        <v>11.847625000000001</v>
      </c>
      <c r="H28">
        <v>11.83</v>
      </c>
    </row>
    <row r="29" spans="1:8" x14ac:dyDescent="0.25">
      <c r="A29">
        <v>1998</v>
      </c>
      <c r="B29" t="s">
        <v>8</v>
      </c>
      <c r="C29">
        <v>24.4</v>
      </c>
      <c r="D29">
        <v>286.30274155560602</v>
      </c>
      <c r="E29">
        <v>414.80401429533902</v>
      </c>
      <c r="F29">
        <v>15079114.0392156</v>
      </c>
      <c r="G29">
        <v>13.278359999999999</v>
      </c>
      <c r="H29">
        <v>13.31</v>
      </c>
    </row>
    <row r="30" spans="1:8" x14ac:dyDescent="0.25">
      <c r="A30">
        <v>1998</v>
      </c>
      <c r="B30" t="s">
        <v>24</v>
      </c>
      <c r="C30">
        <v>23.6</v>
      </c>
      <c r="D30">
        <v>286.30274155560602</v>
      </c>
      <c r="E30">
        <v>414.80401429533902</v>
      </c>
      <c r="F30">
        <v>15079114.0392156</v>
      </c>
      <c r="G30">
        <v>7.3332670000000002</v>
      </c>
      <c r="H30">
        <v>7.22</v>
      </c>
    </row>
    <row r="31" spans="1:8" x14ac:dyDescent="0.25">
      <c r="A31">
        <v>1998</v>
      </c>
      <c r="B31" t="s">
        <v>22</v>
      </c>
      <c r="C31">
        <v>21.5</v>
      </c>
      <c r="D31">
        <v>286.30274155560602</v>
      </c>
      <c r="E31">
        <v>414.80401429533902</v>
      </c>
      <c r="F31">
        <v>15079114.0392156</v>
      </c>
      <c r="G31">
        <v>3.9229617000000001</v>
      </c>
      <c r="H31">
        <v>3.86</v>
      </c>
    </row>
    <row r="32" spans="1:8" x14ac:dyDescent="0.25">
      <c r="A32">
        <v>1998</v>
      </c>
      <c r="B32" t="s">
        <v>20</v>
      </c>
      <c r="C32">
        <v>24.1</v>
      </c>
      <c r="D32">
        <v>286.30274155560602</v>
      </c>
      <c r="E32">
        <v>414.80401429533902</v>
      </c>
      <c r="F32">
        <v>15079114.0392156</v>
      </c>
      <c r="G32">
        <v>7.5297010000000002</v>
      </c>
      <c r="H32">
        <v>6.27</v>
      </c>
    </row>
    <row r="33" spans="1:8" x14ac:dyDescent="0.25">
      <c r="A33">
        <v>1998</v>
      </c>
      <c r="B33" t="s">
        <v>13</v>
      </c>
      <c r="C33">
        <v>23.9</v>
      </c>
      <c r="D33">
        <v>286.30274155560602</v>
      </c>
      <c r="E33">
        <v>414.80401429533902</v>
      </c>
      <c r="F33">
        <v>15079114.0392156</v>
      </c>
      <c r="G33">
        <v>10.494635000000001</v>
      </c>
      <c r="H33">
        <v>10.46</v>
      </c>
    </row>
    <row r="34" spans="1:8" x14ac:dyDescent="0.25">
      <c r="A34">
        <v>1998</v>
      </c>
      <c r="B34" t="s">
        <v>10</v>
      </c>
      <c r="C34">
        <v>20.7</v>
      </c>
      <c r="D34">
        <v>286.30274155560602</v>
      </c>
      <c r="E34">
        <v>414.80401429533902</v>
      </c>
      <c r="F34">
        <v>15079114.0392156</v>
      </c>
      <c r="G34">
        <v>8.1670359999999995</v>
      </c>
      <c r="H34">
        <v>8.2200000000000006</v>
      </c>
    </row>
    <row r="35" spans="1:8" x14ac:dyDescent="0.25">
      <c r="A35">
        <v>1998</v>
      </c>
      <c r="B35" t="s">
        <v>21</v>
      </c>
      <c r="C35">
        <v>21.2</v>
      </c>
      <c r="D35">
        <v>286.30274155560602</v>
      </c>
      <c r="E35">
        <v>414.80401429533902</v>
      </c>
      <c r="F35">
        <v>15079114.0392156</v>
      </c>
      <c r="G35">
        <v>11.007764</v>
      </c>
      <c r="H35">
        <v>11.02</v>
      </c>
    </row>
    <row r="36" spans="1:8" x14ac:dyDescent="0.25">
      <c r="A36">
        <v>1998</v>
      </c>
      <c r="B36" t="s">
        <v>11</v>
      </c>
      <c r="C36">
        <v>20.2</v>
      </c>
      <c r="D36">
        <v>286.30274155560602</v>
      </c>
      <c r="E36">
        <v>414.80401429533902</v>
      </c>
      <c r="F36">
        <v>15079114.0392156</v>
      </c>
      <c r="G36">
        <v>11.102650000000001</v>
      </c>
      <c r="H36">
        <v>11.13</v>
      </c>
    </row>
    <row r="37" spans="1:8" x14ac:dyDescent="0.25">
      <c r="A37">
        <v>1998</v>
      </c>
      <c r="B37" t="s">
        <v>16</v>
      </c>
      <c r="C37">
        <v>22.4</v>
      </c>
      <c r="D37">
        <v>286.30274155560602</v>
      </c>
      <c r="E37">
        <v>414.80401429533902</v>
      </c>
      <c r="F37">
        <v>15079114.0392156</v>
      </c>
      <c r="G37">
        <v>11.247313999999999</v>
      </c>
      <c r="H37">
        <v>11.28</v>
      </c>
    </row>
    <row r="38" spans="1:8" x14ac:dyDescent="0.25">
      <c r="A38">
        <v>1998</v>
      </c>
      <c r="B38" t="s">
        <v>17</v>
      </c>
      <c r="C38">
        <v>21</v>
      </c>
      <c r="D38">
        <v>286.30274155560602</v>
      </c>
      <c r="E38">
        <v>414.80401429533902</v>
      </c>
      <c r="F38">
        <v>15079114.0392156</v>
      </c>
      <c r="G38">
        <v>10.943838</v>
      </c>
      <c r="H38">
        <v>11.08</v>
      </c>
    </row>
    <row r="39" spans="1:8" x14ac:dyDescent="0.25">
      <c r="A39">
        <v>1998</v>
      </c>
      <c r="B39" t="s">
        <v>23</v>
      </c>
      <c r="C39">
        <v>21.5</v>
      </c>
      <c r="D39">
        <v>286.30274155560602</v>
      </c>
      <c r="E39">
        <v>414.80401429533902</v>
      </c>
      <c r="F39">
        <v>15079114.0392156</v>
      </c>
      <c r="G39">
        <v>2.871699</v>
      </c>
      <c r="H39">
        <v>2.68</v>
      </c>
    </row>
    <row r="40" spans="1:8" x14ac:dyDescent="0.25">
      <c r="A40">
        <v>1999</v>
      </c>
      <c r="B40" t="s">
        <v>15</v>
      </c>
      <c r="C40">
        <v>30.1</v>
      </c>
      <c r="D40">
        <v>286.77722826191001</v>
      </c>
      <c r="E40">
        <v>428.73321255668998</v>
      </c>
      <c r="F40">
        <v>15839295.225490101</v>
      </c>
      <c r="G40">
        <v>19.991330999999999</v>
      </c>
      <c r="H40">
        <v>20.149999999999999</v>
      </c>
    </row>
    <row r="41" spans="1:8" x14ac:dyDescent="0.25">
      <c r="A41">
        <v>1999</v>
      </c>
      <c r="B41" t="s">
        <v>19</v>
      </c>
      <c r="C41">
        <v>25.8</v>
      </c>
      <c r="D41">
        <v>286.77722826191001</v>
      </c>
      <c r="E41">
        <v>428.73321255668998</v>
      </c>
      <c r="F41">
        <v>15839295.225490101</v>
      </c>
      <c r="G41">
        <v>11.248562</v>
      </c>
      <c r="H41">
        <v>17.07</v>
      </c>
    </row>
    <row r="42" spans="1:8" x14ac:dyDescent="0.25">
      <c r="A42">
        <v>1999</v>
      </c>
      <c r="B42" t="s">
        <v>14</v>
      </c>
      <c r="C42">
        <v>28.4</v>
      </c>
      <c r="D42">
        <v>286.77722826191001</v>
      </c>
      <c r="E42">
        <v>428.73321255668998</v>
      </c>
      <c r="F42">
        <v>15839295.225490101</v>
      </c>
      <c r="G42">
        <v>14.644404</v>
      </c>
      <c r="H42">
        <v>14.73</v>
      </c>
    </row>
    <row r="43" spans="1:8" x14ac:dyDescent="0.25">
      <c r="A43">
        <v>1999</v>
      </c>
      <c r="B43" t="s">
        <v>25</v>
      </c>
      <c r="C43">
        <v>21.2</v>
      </c>
      <c r="D43">
        <v>286.77722826191001</v>
      </c>
      <c r="E43">
        <v>428.73321255668998</v>
      </c>
      <c r="F43">
        <v>15839295.225490101</v>
      </c>
      <c r="G43">
        <v>2.6302645</v>
      </c>
      <c r="H43">
        <v>2.79</v>
      </c>
    </row>
    <row r="44" spans="1:8" x14ac:dyDescent="0.25">
      <c r="A44">
        <v>1999</v>
      </c>
      <c r="B44" t="s">
        <v>26</v>
      </c>
      <c r="C44">
        <v>20.399999999999999</v>
      </c>
      <c r="D44">
        <v>286.77722826191001</v>
      </c>
      <c r="E44">
        <v>428.73321255668998</v>
      </c>
      <c r="F44">
        <v>15839295.225490101</v>
      </c>
      <c r="G44">
        <v>3.8760880000000002</v>
      </c>
      <c r="H44">
        <v>1.94</v>
      </c>
    </row>
    <row r="45" spans="1:8" x14ac:dyDescent="0.25">
      <c r="A45">
        <v>1999</v>
      </c>
      <c r="B45" t="s">
        <v>18</v>
      </c>
      <c r="C45">
        <v>23.1</v>
      </c>
      <c r="D45">
        <v>286.77722826191001</v>
      </c>
      <c r="E45">
        <v>428.73321255668998</v>
      </c>
      <c r="F45">
        <v>15839295.225490101</v>
      </c>
      <c r="G45">
        <v>5.6573563</v>
      </c>
      <c r="H45">
        <v>5.65</v>
      </c>
    </row>
    <row r="46" spans="1:8" x14ac:dyDescent="0.25">
      <c r="A46">
        <v>1999</v>
      </c>
      <c r="B46" t="s">
        <v>9</v>
      </c>
      <c r="C46">
        <v>23.8</v>
      </c>
      <c r="D46">
        <v>286.77722826191001</v>
      </c>
      <c r="E46">
        <v>428.73321255668998</v>
      </c>
      <c r="F46">
        <v>15839295.225490101</v>
      </c>
      <c r="G46">
        <v>11.489655000000001</v>
      </c>
      <c r="H46">
        <v>11.62</v>
      </c>
    </row>
    <row r="47" spans="1:8" x14ac:dyDescent="0.25">
      <c r="A47">
        <v>1999</v>
      </c>
      <c r="B47" t="s">
        <v>12</v>
      </c>
      <c r="C47">
        <v>26.1</v>
      </c>
      <c r="D47">
        <v>286.77722826191001</v>
      </c>
      <c r="E47">
        <v>428.73321255668998</v>
      </c>
      <c r="F47">
        <v>15839295.225490101</v>
      </c>
      <c r="G47">
        <v>12.115518</v>
      </c>
      <c r="H47">
        <v>14.83</v>
      </c>
    </row>
    <row r="48" spans="1:8" x14ac:dyDescent="0.25">
      <c r="A48">
        <v>1999</v>
      </c>
      <c r="B48" t="s">
        <v>8</v>
      </c>
      <c r="C48">
        <v>25.7</v>
      </c>
      <c r="D48">
        <v>286.77722826191001</v>
      </c>
      <c r="E48">
        <v>428.73321255668998</v>
      </c>
      <c r="F48">
        <v>15839295.225490101</v>
      </c>
      <c r="G48">
        <v>11.918350999999999</v>
      </c>
      <c r="H48">
        <v>16.809999999999999</v>
      </c>
    </row>
    <row r="49" spans="1:8" x14ac:dyDescent="0.25">
      <c r="A49">
        <v>1999</v>
      </c>
      <c r="B49" t="s">
        <v>24</v>
      </c>
      <c r="C49">
        <v>25.6</v>
      </c>
      <c r="D49">
        <v>286.77722826191001</v>
      </c>
      <c r="E49">
        <v>428.73321255668998</v>
      </c>
      <c r="F49">
        <v>15839295.225490101</v>
      </c>
      <c r="G49">
        <v>7.6158910000000004</v>
      </c>
      <c r="H49">
        <v>7.63</v>
      </c>
    </row>
    <row r="50" spans="1:8" x14ac:dyDescent="0.25">
      <c r="A50">
        <v>1999</v>
      </c>
      <c r="B50" t="s">
        <v>22</v>
      </c>
      <c r="C50">
        <v>26.1</v>
      </c>
      <c r="D50">
        <v>286.77722826191001</v>
      </c>
      <c r="E50">
        <v>428.73321255668998</v>
      </c>
      <c r="F50">
        <v>15839295.225490101</v>
      </c>
      <c r="G50">
        <v>7.2633853000000004</v>
      </c>
      <c r="H50">
        <v>7.25</v>
      </c>
    </row>
    <row r="51" spans="1:8" x14ac:dyDescent="0.25">
      <c r="A51">
        <v>1999</v>
      </c>
      <c r="B51" t="s">
        <v>20</v>
      </c>
      <c r="C51">
        <v>26.7</v>
      </c>
      <c r="D51">
        <v>286.77722826191001</v>
      </c>
      <c r="E51">
        <v>428.73321255668998</v>
      </c>
      <c r="F51">
        <v>15839295.225490101</v>
      </c>
      <c r="G51">
        <v>7.9663880000000002</v>
      </c>
      <c r="H51">
        <v>7.85</v>
      </c>
    </row>
    <row r="52" spans="1:8" x14ac:dyDescent="0.25">
      <c r="A52">
        <v>1999</v>
      </c>
      <c r="B52" t="s">
        <v>13</v>
      </c>
      <c r="C52">
        <v>26</v>
      </c>
      <c r="D52">
        <v>286.77722826191001</v>
      </c>
      <c r="E52">
        <v>428.73321255668998</v>
      </c>
      <c r="F52">
        <v>15839295.225490101</v>
      </c>
      <c r="G52">
        <v>9.7183829999999993</v>
      </c>
      <c r="H52">
        <v>9.57</v>
      </c>
    </row>
    <row r="53" spans="1:8" x14ac:dyDescent="0.25">
      <c r="A53">
        <v>1999</v>
      </c>
      <c r="B53" t="s">
        <v>10</v>
      </c>
      <c r="C53">
        <v>28.9</v>
      </c>
      <c r="D53">
        <v>286.77722826191001</v>
      </c>
      <c r="E53">
        <v>428.73321255668998</v>
      </c>
      <c r="F53">
        <v>15839295.225490101</v>
      </c>
      <c r="G53">
        <v>10.174310999999999</v>
      </c>
      <c r="H53">
        <v>9.98</v>
      </c>
    </row>
    <row r="54" spans="1:8" x14ac:dyDescent="0.25">
      <c r="A54">
        <v>1999</v>
      </c>
      <c r="B54" t="s">
        <v>21</v>
      </c>
      <c r="C54">
        <v>30.7</v>
      </c>
      <c r="D54">
        <v>286.77722826191001</v>
      </c>
      <c r="E54">
        <v>428.73321255668998</v>
      </c>
      <c r="F54">
        <v>15839295.225490101</v>
      </c>
      <c r="G54">
        <v>16.293491</v>
      </c>
      <c r="H54">
        <v>16.3</v>
      </c>
    </row>
    <row r="55" spans="1:8" x14ac:dyDescent="0.25">
      <c r="A55">
        <v>1999</v>
      </c>
      <c r="B55" t="s">
        <v>11</v>
      </c>
      <c r="C55">
        <v>26.8</v>
      </c>
      <c r="D55">
        <v>286.77722826191001</v>
      </c>
      <c r="E55">
        <v>428.73321255668998</v>
      </c>
      <c r="F55">
        <v>15839295.225490101</v>
      </c>
      <c r="G55">
        <v>14.175604999999999</v>
      </c>
      <c r="H55">
        <v>14.28</v>
      </c>
    </row>
    <row r="56" spans="1:8" x14ac:dyDescent="0.25">
      <c r="A56">
        <v>1999</v>
      </c>
      <c r="B56" t="s">
        <v>17</v>
      </c>
      <c r="C56">
        <v>28.5</v>
      </c>
      <c r="D56">
        <v>286.77722826191001</v>
      </c>
      <c r="E56">
        <v>428.73321255668998</v>
      </c>
      <c r="F56">
        <v>15839295.225490101</v>
      </c>
      <c r="G56">
        <v>15.153642</v>
      </c>
      <c r="H56">
        <v>15.2</v>
      </c>
    </row>
    <row r="57" spans="1:8" x14ac:dyDescent="0.25">
      <c r="A57">
        <v>1999</v>
      </c>
      <c r="B57" t="s">
        <v>16</v>
      </c>
      <c r="C57">
        <v>29.6</v>
      </c>
      <c r="D57">
        <v>286.77722826191001</v>
      </c>
      <c r="E57">
        <v>428.73321255668998</v>
      </c>
      <c r="F57">
        <v>15839295.225490101</v>
      </c>
      <c r="G57">
        <v>16.770937</v>
      </c>
      <c r="H57">
        <v>15.68</v>
      </c>
    </row>
    <row r="58" spans="1:8" x14ac:dyDescent="0.25">
      <c r="A58">
        <v>1999</v>
      </c>
      <c r="B58" t="s">
        <v>23</v>
      </c>
      <c r="C58">
        <v>23.8</v>
      </c>
      <c r="D58">
        <v>286.77722826191001</v>
      </c>
      <c r="E58">
        <v>428.73321255668998</v>
      </c>
      <c r="F58">
        <v>15839295.225490101</v>
      </c>
      <c r="G58">
        <v>6.6468030000000002</v>
      </c>
      <c r="H58">
        <v>3.1</v>
      </c>
    </row>
    <row r="59" spans="1:8" x14ac:dyDescent="0.25">
      <c r="A59">
        <v>2000</v>
      </c>
      <c r="B59" t="s">
        <v>15</v>
      </c>
      <c r="C59">
        <v>24.9</v>
      </c>
      <c r="D59">
        <v>286.37742624719101</v>
      </c>
      <c r="E59">
        <v>404.85858127660998</v>
      </c>
      <c r="F59">
        <v>15766376.3823529</v>
      </c>
      <c r="G59">
        <v>12.734747</v>
      </c>
      <c r="H59">
        <v>12.8</v>
      </c>
    </row>
    <row r="60" spans="1:8" x14ac:dyDescent="0.25">
      <c r="A60">
        <v>2000</v>
      </c>
      <c r="B60" t="s">
        <v>19</v>
      </c>
      <c r="C60">
        <v>24</v>
      </c>
      <c r="D60">
        <v>286.37742624719101</v>
      </c>
      <c r="E60">
        <v>404.85858127660998</v>
      </c>
      <c r="F60">
        <v>15766376.3823529</v>
      </c>
      <c r="G60">
        <v>10.107783</v>
      </c>
      <c r="H60">
        <v>10.34</v>
      </c>
    </row>
    <row r="61" spans="1:8" x14ac:dyDescent="0.25">
      <c r="A61">
        <v>2000</v>
      </c>
      <c r="B61" t="s">
        <v>14</v>
      </c>
      <c r="C61">
        <v>23.2</v>
      </c>
      <c r="D61">
        <v>286.37742624719101</v>
      </c>
      <c r="E61">
        <v>404.85858127660998</v>
      </c>
      <c r="F61">
        <v>15766376.3823529</v>
      </c>
      <c r="G61">
        <v>9.7079734999999996</v>
      </c>
      <c r="H61">
        <v>9.6999999999999993</v>
      </c>
    </row>
    <row r="62" spans="1:8" x14ac:dyDescent="0.25">
      <c r="A62">
        <v>2000</v>
      </c>
      <c r="B62" t="s">
        <v>25</v>
      </c>
      <c r="C62">
        <v>22</v>
      </c>
      <c r="D62">
        <v>286.37742624719101</v>
      </c>
      <c r="E62">
        <v>404.85858127660998</v>
      </c>
      <c r="F62">
        <v>15766376.3823529</v>
      </c>
      <c r="G62">
        <v>2.1614575</v>
      </c>
      <c r="H62">
        <v>1.98</v>
      </c>
    </row>
    <row r="63" spans="1:8" x14ac:dyDescent="0.25">
      <c r="A63">
        <v>2000</v>
      </c>
      <c r="B63" t="s">
        <v>26</v>
      </c>
      <c r="C63">
        <v>20.8</v>
      </c>
      <c r="D63">
        <v>286.37742624719101</v>
      </c>
      <c r="E63">
        <v>404.85858127660998</v>
      </c>
      <c r="F63">
        <v>15766376.3823529</v>
      </c>
      <c r="G63">
        <v>2.4814756</v>
      </c>
      <c r="H63">
        <v>2.4</v>
      </c>
    </row>
    <row r="64" spans="1:8" x14ac:dyDescent="0.25">
      <c r="A64">
        <v>2000</v>
      </c>
      <c r="B64" t="s">
        <v>18</v>
      </c>
      <c r="C64">
        <v>24.8</v>
      </c>
      <c r="D64">
        <v>286.37742624719101</v>
      </c>
      <c r="E64">
        <v>404.85858127660998</v>
      </c>
      <c r="F64">
        <v>15766376.3823529</v>
      </c>
      <c r="G64">
        <v>6.3467390000000004</v>
      </c>
      <c r="H64">
        <v>6.05</v>
      </c>
    </row>
    <row r="65" spans="1:8" x14ac:dyDescent="0.25">
      <c r="A65">
        <v>2000</v>
      </c>
      <c r="B65" t="s">
        <v>9</v>
      </c>
      <c r="C65">
        <v>24.5</v>
      </c>
      <c r="D65">
        <v>286.37742624719101</v>
      </c>
      <c r="E65">
        <v>404.85858127660998</v>
      </c>
      <c r="F65">
        <v>15766376.3823529</v>
      </c>
      <c r="G65">
        <v>10.531261000000001</v>
      </c>
      <c r="H65">
        <v>9.5500000000000007</v>
      </c>
    </row>
    <row r="66" spans="1:8" x14ac:dyDescent="0.25">
      <c r="A66">
        <v>2000</v>
      </c>
      <c r="B66" t="s">
        <v>12</v>
      </c>
      <c r="C66">
        <v>24.3</v>
      </c>
      <c r="D66">
        <v>286.37742624719101</v>
      </c>
      <c r="E66">
        <v>404.85858127660998</v>
      </c>
      <c r="F66">
        <v>15766376.3823529</v>
      </c>
      <c r="G66">
        <v>10.749039</v>
      </c>
      <c r="H66">
        <v>10.78</v>
      </c>
    </row>
    <row r="67" spans="1:8" x14ac:dyDescent="0.25">
      <c r="A67">
        <v>2000</v>
      </c>
      <c r="B67" t="s">
        <v>8</v>
      </c>
      <c r="C67">
        <v>23.6</v>
      </c>
      <c r="D67">
        <v>286.37742624719101</v>
      </c>
      <c r="E67">
        <v>404.85858127660998</v>
      </c>
      <c r="F67">
        <v>15766376.3823529</v>
      </c>
      <c r="G67">
        <v>10.779033999999999</v>
      </c>
      <c r="H67">
        <v>10.77</v>
      </c>
    </row>
    <row r="68" spans="1:8" x14ac:dyDescent="0.25">
      <c r="A68">
        <v>2000</v>
      </c>
      <c r="B68" t="s">
        <v>24</v>
      </c>
      <c r="C68">
        <v>20.9</v>
      </c>
      <c r="D68">
        <v>286.37742624719101</v>
      </c>
      <c r="E68">
        <v>404.85858127660998</v>
      </c>
      <c r="F68">
        <v>15766376.3823529</v>
      </c>
      <c r="G68">
        <v>4.0525045000000004</v>
      </c>
      <c r="H68">
        <v>3.99</v>
      </c>
    </row>
    <row r="69" spans="1:8" x14ac:dyDescent="0.25">
      <c r="A69">
        <v>2000</v>
      </c>
      <c r="B69" t="s">
        <v>22</v>
      </c>
      <c r="C69">
        <v>24.3</v>
      </c>
      <c r="D69">
        <v>286.37742624719101</v>
      </c>
      <c r="E69">
        <v>404.85858127660998</v>
      </c>
      <c r="F69">
        <v>15766376.3823529</v>
      </c>
      <c r="G69">
        <v>5.8274755000000003</v>
      </c>
      <c r="H69">
        <v>5.83</v>
      </c>
    </row>
    <row r="70" spans="1:8" x14ac:dyDescent="0.25">
      <c r="A70">
        <v>2000</v>
      </c>
      <c r="B70" t="s">
        <v>20</v>
      </c>
      <c r="C70">
        <v>24.1</v>
      </c>
      <c r="D70">
        <v>286.37742624719101</v>
      </c>
      <c r="E70">
        <v>404.85858127660998</v>
      </c>
      <c r="F70">
        <v>15766376.3823529</v>
      </c>
      <c r="G70">
        <v>6.3748636000000003</v>
      </c>
      <c r="H70">
        <v>6.34</v>
      </c>
    </row>
    <row r="71" spans="1:8" x14ac:dyDescent="0.25">
      <c r="A71">
        <v>2000</v>
      </c>
      <c r="B71" t="s">
        <v>13</v>
      </c>
      <c r="C71">
        <v>26.3</v>
      </c>
      <c r="D71">
        <v>286.37742624719101</v>
      </c>
      <c r="E71">
        <v>404.85858127660998</v>
      </c>
      <c r="F71">
        <v>15766376.3823529</v>
      </c>
      <c r="G71">
        <v>9.2613660000000007</v>
      </c>
      <c r="H71">
        <v>9.27</v>
      </c>
    </row>
    <row r="72" spans="1:8" x14ac:dyDescent="0.25">
      <c r="A72">
        <v>2000</v>
      </c>
      <c r="B72" t="s">
        <v>10</v>
      </c>
      <c r="C72">
        <v>27.1</v>
      </c>
      <c r="D72">
        <v>286.37742624719101</v>
      </c>
      <c r="E72">
        <v>404.85858127660998</v>
      </c>
      <c r="F72">
        <v>15766376.3823529</v>
      </c>
      <c r="G72">
        <v>10.430465</v>
      </c>
      <c r="H72">
        <v>10.63</v>
      </c>
    </row>
    <row r="73" spans="1:8" x14ac:dyDescent="0.25">
      <c r="A73">
        <v>2000</v>
      </c>
      <c r="B73" t="s">
        <v>21</v>
      </c>
      <c r="C73">
        <v>22.2</v>
      </c>
      <c r="D73">
        <v>286.37742624719101</v>
      </c>
      <c r="E73">
        <v>404.85858127660998</v>
      </c>
      <c r="F73">
        <v>15766376.3823529</v>
      </c>
      <c r="G73">
        <v>11.655234</v>
      </c>
      <c r="H73">
        <v>11.77</v>
      </c>
    </row>
    <row r="74" spans="1:8" x14ac:dyDescent="0.25">
      <c r="A74">
        <v>2000</v>
      </c>
      <c r="B74" t="s">
        <v>11</v>
      </c>
      <c r="C74">
        <v>23.3</v>
      </c>
      <c r="D74">
        <v>286.37742624719101</v>
      </c>
      <c r="E74">
        <v>404.85858127660998</v>
      </c>
      <c r="F74">
        <v>15766376.3823529</v>
      </c>
      <c r="G74">
        <v>9.8279399999999999</v>
      </c>
      <c r="H74">
        <v>13.75</v>
      </c>
    </row>
    <row r="75" spans="1:8" x14ac:dyDescent="0.25">
      <c r="A75">
        <v>2000</v>
      </c>
      <c r="B75" t="s">
        <v>17</v>
      </c>
      <c r="C75">
        <v>23</v>
      </c>
      <c r="D75">
        <v>286.37742624719101</v>
      </c>
      <c r="E75">
        <v>404.85858127660998</v>
      </c>
      <c r="F75">
        <v>15766376.3823529</v>
      </c>
      <c r="G75">
        <v>9.3345000000000002</v>
      </c>
      <c r="H75">
        <v>10.89</v>
      </c>
    </row>
    <row r="76" spans="1:8" x14ac:dyDescent="0.25">
      <c r="A76">
        <v>2000</v>
      </c>
      <c r="B76" t="s">
        <v>16</v>
      </c>
      <c r="C76">
        <v>23.9</v>
      </c>
      <c r="D76">
        <v>286.37742624719101</v>
      </c>
      <c r="E76">
        <v>404.85858127660998</v>
      </c>
      <c r="F76">
        <v>15766376.3823529</v>
      </c>
      <c r="G76">
        <v>10.544381</v>
      </c>
      <c r="H76">
        <v>10.6</v>
      </c>
    </row>
    <row r="77" spans="1:8" x14ac:dyDescent="0.25">
      <c r="A77">
        <v>2000</v>
      </c>
      <c r="B77" t="s">
        <v>23</v>
      </c>
      <c r="C77">
        <v>22.5</v>
      </c>
      <c r="D77">
        <v>286.37742624719101</v>
      </c>
      <c r="E77">
        <v>404.85858127660998</v>
      </c>
      <c r="F77">
        <v>15766376.3823529</v>
      </c>
      <c r="G77">
        <v>3.0032835000000002</v>
      </c>
      <c r="H77">
        <v>2.97</v>
      </c>
    </row>
    <row r="78" spans="1:8" x14ac:dyDescent="0.25">
      <c r="A78">
        <v>2001</v>
      </c>
      <c r="B78" t="s">
        <v>27</v>
      </c>
      <c r="C78">
        <v>25.7</v>
      </c>
      <c r="D78">
        <v>286.36195303723701</v>
      </c>
      <c r="E78">
        <v>369.19793283077797</v>
      </c>
      <c r="F78">
        <v>15880450.614379</v>
      </c>
      <c r="G78">
        <v>11.194794999999999</v>
      </c>
      <c r="H78">
        <v>13.67</v>
      </c>
    </row>
    <row r="79" spans="1:8" x14ac:dyDescent="0.25">
      <c r="A79">
        <v>2001</v>
      </c>
      <c r="B79" t="s">
        <v>19</v>
      </c>
      <c r="C79">
        <v>28</v>
      </c>
      <c r="D79">
        <v>286.36195303723701</v>
      </c>
      <c r="E79">
        <v>369.19793283077797</v>
      </c>
      <c r="F79">
        <v>15880450.614379</v>
      </c>
      <c r="G79">
        <v>12.647174</v>
      </c>
      <c r="H79">
        <v>13.54</v>
      </c>
    </row>
    <row r="80" spans="1:8" x14ac:dyDescent="0.25">
      <c r="A80">
        <v>2001</v>
      </c>
      <c r="B80" t="s">
        <v>14</v>
      </c>
      <c r="C80">
        <v>25.9</v>
      </c>
      <c r="D80">
        <v>286.36195303723701</v>
      </c>
      <c r="E80">
        <v>369.19793283077797</v>
      </c>
      <c r="F80">
        <v>15880450.614379</v>
      </c>
      <c r="G80">
        <v>13.425038000000001</v>
      </c>
      <c r="H80">
        <v>9.43</v>
      </c>
    </row>
    <row r="81" spans="1:8" x14ac:dyDescent="0.25">
      <c r="A81">
        <v>2001</v>
      </c>
      <c r="B81" t="s">
        <v>25</v>
      </c>
      <c r="C81">
        <v>20.7</v>
      </c>
      <c r="D81">
        <v>286.36195303723701</v>
      </c>
      <c r="E81">
        <v>369.19793283077797</v>
      </c>
      <c r="F81">
        <v>15880450.614379</v>
      </c>
      <c r="G81">
        <v>2.3001529999999999</v>
      </c>
      <c r="H81">
        <v>2.29</v>
      </c>
    </row>
    <row r="82" spans="1:8" x14ac:dyDescent="0.25">
      <c r="A82">
        <v>2001</v>
      </c>
      <c r="B82" t="s">
        <v>28</v>
      </c>
      <c r="C82">
        <v>21.1</v>
      </c>
      <c r="D82">
        <v>286.36195303723701</v>
      </c>
      <c r="E82">
        <v>369.19793283077797</v>
      </c>
      <c r="F82">
        <v>15880450.614379</v>
      </c>
      <c r="G82">
        <v>1.8605632999999999</v>
      </c>
      <c r="H82">
        <v>1.71</v>
      </c>
    </row>
    <row r="83" spans="1:8" x14ac:dyDescent="0.25">
      <c r="A83">
        <v>2001</v>
      </c>
      <c r="B83" t="s">
        <v>29</v>
      </c>
      <c r="C83">
        <v>24.4</v>
      </c>
      <c r="D83">
        <v>286.36195303723701</v>
      </c>
      <c r="E83">
        <v>369.19793283077797</v>
      </c>
      <c r="F83">
        <v>15880450.614379</v>
      </c>
      <c r="G83">
        <v>7.5119023</v>
      </c>
      <c r="H83">
        <v>7.57</v>
      </c>
    </row>
    <row r="84" spans="1:8" x14ac:dyDescent="0.25">
      <c r="A84">
        <v>2001</v>
      </c>
      <c r="B84" t="s">
        <v>30</v>
      </c>
      <c r="C84">
        <v>25.3</v>
      </c>
      <c r="D84">
        <v>286.36195303723701</v>
      </c>
      <c r="E84">
        <v>369.19793283077797</v>
      </c>
      <c r="F84">
        <v>15880450.614379</v>
      </c>
      <c r="G84">
        <v>7.3180623000000002</v>
      </c>
      <c r="H84">
        <v>11.8</v>
      </c>
    </row>
    <row r="85" spans="1:8" x14ac:dyDescent="0.25">
      <c r="A85">
        <v>2001</v>
      </c>
      <c r="B85" t="s">
        <v>31</v>
      </c>
      <c r="C85">
        <v>22</v>
      </c>
      <c r="D85">
        <v>286.36195303723701</v>
      </c>
      <c r="E85">
        <v>369.19793283077797</v>
      </c>
      <c r="F85">
        <v>15880450.614379</v>
      </c>
      <c r="G85">
        <v>10.091803000000001</v>
      </c>
      <c r="H85">
        <v>10.27</v>
      </c>
    </row>
    <row r="86" spans="1:8" x14ac:dyDescent="0.25">
      <c r="A86">
        <v>2001</v>
      </c>
      <c r="B86" t="s">
        <v>32</v>
      </c>
      <c r="C86">
        <v>19</v>
      </c>
      <c r="D86">
        <v>286.36195303723701</v>
      </c>
      <c r="E86">
        <v>369.19793283077797</v>
      </c>
      <c r="F86">
        <v>15880450.614379</v>
      </c>
      <c r="G86">
        <v>7.9799129999999998</v>
      </c>
      <c r="H86">
        <v>7.96</v>
      </c>
    </row>
    <row r="87" spans="1:8" x14ac:dyDescent="0.25">
      <c r="A87">
        <v>2001</v>
      </c>
      <c r="B87" t="s">
        <v>33</v>
      </c>
      <c r="C87">
        <v>18.3</v>
      </c>
      <c r="D87">
        <v>286.36195303723701</v>
      </c>
      <c r="E87">
        <v>369.19793283077797</v>
      </c>
      <c r="F87">
        <v>15880450.614379</v>
      </c>
      <c r="G87">
        <v>2.688342</v>
      </c>
      <c r="H87">
        <v>2.73</v>
      </c>
    </row>
    <row r="88" spans="1:8" x14ac:dyDescent="0.25">
      <c r="A88">
        <v>2001</v>
      </c>
      <c r="B88" t="s">
        <v>34</v>
      </c>
      <c r="C88">
        <v>16.899999999999999</v>
      </c>
      <c r="D88">
        <v>286.36195303723701</v>
      </c>
      <c r="E88">
        <v>369.19793283077797</v>
      </c>
      <c r="F88">
        <v>15880450.614379</v>
      </c>
      <c r="G88">
        <v>4.0933365999999998</v>
      </c>
      <c r="H88">
        <v>4.1100000000000003</v>
      </c>
    </row>
    <row r="89" spans="1:8" x14ac:dyDescent="0.25">
      <c r="A89">
        <v>2001</v>
      </c>
      <c r="B89" t="s">
        <v>35</v>
      </c>
      <c r="C89">
        <v>19</v>
      </c>
      <c r="D89">
        <v>286.36195303723701</v>
      </c>
      <c r="E89">
        <v>369.19793283077797</v>
      </c>
      <c r="F89">
        <v>15880450.614379</v>
      </c>
      <c r="G89">
        <v>6.8198210000000001</v>
      </c>
      <c r="H89">
        <v>6.8</v>
      </c>
    </row>
    <row r="90" spans="1:8" x14ac:dyDescent="0.25">
      <c r="A90">
        <v>2001</v>
      </c>
      <c r="B90" t="s">
        <v>36</v>
      </c>
      <c r="C90">
        <v>18</v>
      </c>
      <c r="D90">
        <v>286.36195303723701</v>
      </c>
      <c r="E90">
        <v>369.19793283077797</v>
      </c>
      <c r="F90">
        <v>15880450.614379</v>
      </c>
      <c r="G90">
        <v>6.7670599999999999</v>
      </c>
      <c r="H90">
        <v>6.77</v>
      </c>
    </row>
    <row r="91" spans="1:8" x14ac:dyDescent="0.25">
      <c r="A91">
        <v>2001</v>
      </c>
      <c r="B91" t="s">
        <v>37</v>
      </c>
      <c r="C91">
        <v>19.2</v>
      </c>
      <c r="D91">
        <v>286.36195303723701</v>
      </c>
      <c r="E91">
        <v>369.19793283077797</v>
      </c>
      <c r="F91">
        <v>15880450.614379</v>
      </c>
      <c r="G91">
        <v>8.7741469999999993</v>
      </c>
      <c r="H91">
        <v>8.84</v>
      </c>
    </row>
    <row r="92" spans="1:8" x14ac:dyDescent="0.25">
      <c r="A92">
        <v>2001</v>
      </c>
      <c r="B92" t="s">
        <v>38</v>
      </c>
      <c r="C92">
        <v>16.899999999999999</v>
      </c>
      <c r="D92">
        <v>286.36195303723701</v>
      </c>
      <c r="E92">
        <v>369.19793283077797</v>
      </c>
      <c r="F92">
        <v>15880450.614379</v>
      </c>
      <c r="G92">
        <v>6.3648639999999999</v>
      </c>
      <c r="H92">
        <v>6.43</v>
      </c>
    </row>
    <row r="93" spans="1:8" x14ac:dyDescent="0.25">
      <c r="A93">
        <v>2001</v>
      </c>
      <c r="B93" t="s">
        <v>39</v>
      </c>
      <c r="C93">
        <v>18.7</v>
      </c>
      <c r="D93">
        <v>286.36195303723701</v>
      </c>
      <c r="E93">
        <v>369.19793283077797</v>
      </c>
      <c r="F93">
        <v>15880450.614379</v>
      </c>
      <c r="G93">
        <v>7.8214319999999997</v>
      </c>
      <c r="H93">
        <v>7.76</v>
      </c>
    </row>
    <row r="94" spans="1:8" x14ac:dyDescent="0.25">
      <c r="A94">
        <v>2001</v>
      </c>
      <c r="B94" t="s">
        <v>40</v>
      </c>
      <c r="C94">
        <v>17.600000000000001</v>
      </c>
      <c r="D94">
        <v>286.36195303723701</v>
      </c>
      <c r="E94">
        <v>369.19793283077797</v>
      </c>
      <c r="F94">
        <v>15880450.614379</v>
      </c>
      <c r="G94">
        <v>6.4773392999999997</v>
      </c>
      <c r="H94">
        <v>6.45</v>
      </c>
    </row>
    <row r="95" spans="1:8" x14ac:dyDescent="0.25">
      <c r="A95">
        <v>2001</v>
      </c>
      <c r="B95" t="s">
        <v>41</v>
      </c>
      <c r="C95">
        <v>19.100000000000001</v>
      </c>
      <c r="D95">
        <v>286.36195303723701</v>
      </c>
      <c r="E95">
        <v>369.19793283077797</v>
      </c>
      <c r="F95">
        <v>15880450.614379</v>
      </c>
      <c r="G95">
        <v>7.0311393999999998</v>
      </c>
      <c r="H95">
        <v>7.42</v>
      </c>
    </row>
    <row r="96" spans="1:8" x14ac:dyDescent="0.25">
      <c r="A96">
        <v>2001</v>
      </c>
      <c r="B96" t="s">
        <v>42</v>
      </c>
      <c r="C96">
        <v>19</v>
      </c>
      <c r="D96">
        <v>286.36195303723701</v>
      </c>
      <c r="E96">
        <v>369.19793283077797</v>
      </c>
      <c r="F96">
        <v>15880450.614379</v>
      </c>
      <c r="G96">
        <v>3.73875</v>
      </c>
      <c r="H96">
        <v>5.2</v>
      </c>
    </row>
    <row r="97" spans="1:8" x14ac:dyDescent="0.25">
      <c r="A97">
        <v>2002</v>
      </c>
      <c r="B97" t="s">
        <v>27</v>
      </c>
      <c r="C97">
        <v>26.9</v>
      </c>
      <c r="D97">
        <v>286.432183359183</v>
      </c>
      <c r="E97">
        <v>396.504545263946</v>
      </c>
      <c r="F97">
        <v>15391693.869281</v>
      </c>
      <c r="G97">
        <v>10.953766</v>
      </c>
      <c r="H97">
        <v>10.65</v>
      </c>
    </row>
    <row r="98" spans="1:8" x14ac:dyDescent="0.25">
      <c r="A98">
        <v>2002</v>
      </c>
      <c r="B98" t="s">
        <v>19</v>
      </c>
      <c r="C98">
        <v>25.1</v>
      </c>
      <c r="D98">
        <v>286.432183359183</v>
      </c>
      <c r="E98">
        <v>396.504545263946</v>
      </c>
      <c r="F98">
        <v>15391693.869281</v>
      </c>
      <c r="G98">
        <v>8.2988800000000005</v>
      </c>
      <c r="H98">
        <v>7.68</v>
      </c>
    </row>
    <row r="99" spans="1:8" x14ac:dyDescent="0.25">
      <c r="A99">
        <v>2002</v>
      </c>
      <c r="B99" t="s">
        <v>14</v>
      </c>
      <c r="C99">
        <v>24.9</v>
      </c>
      <c r="D99">
        <v>286.432183359183</v>
      </c>
      <c r="E99">
        <v>396.504545263946</v>
      </c>
      <c r="F99">
        <v>15391693.869281</v>
      </c>
      <c r="G99">
        <v>8.4237739999999999</v>
      </c>
      <c r="H99">
        <v>8.41</v>
      </c>
    </row>
    <row r="100" spans="1:8" x14ac:dyDescent="0.25">
      <c r="A100">
        <v>2002</v>
      </c>
      <c r="B100" t="s">
        <v>25</v>
      </c>
      <c r="C100">
        <v>21.7</v>
      </c>
      <c r="D100">
        <v>286.432183359183</v>
      </c>
      <c r="E100">
        <v>396.504545263946</v>
      </c>
      <c r="F100">
        <v>15391693.869281</v>
      </c>
      <c r="G100">
        <v>2.3737688000000001</v>
      </c>
      <c r="H100">
        <v>2.5299999999999998</v>
      </c>
    </row>
    <row r="101" spans="1:8" x14ac:dyDescent="0.25">
      <c r="A101">
        <v>2002</v>
      </c>
      <c r="B101" t="s">
        <v>28</v>
      </c>
      <c r="C101">
        <v>22.8</v>
      </c>
      <c r="D101">
        <v>286.432183359183</v>
      </c>
      <c r="E101">
        <v>396.504545263946</v>
      </c>
      <c r="F101">
        <v>15391693.869281</v>
      </c>
      <c r="G101">
        <v>1.9783565000000001</v>
      </c>
      <c r="H101">
        <v>1.94</v>
      </c>
    </row>
    <row r="102" spans="1:8" x14ac:dyDescent="0.25">
      <c r="A102">
        <v>2002</v>
      </c>
      <c r="B102" t="s">
        <v>29</v>
      </c>
      <c r="C102">
        <v>26.3</v>
      </c>
      <c r="D102">
        <v>286.432183359183</v>
      </c>
      <c r="E102">
        <v>396.504545263946</v>
      </c>
      <c r="F102">
        <v>15391693.869281</v>
      </c>
      <c r="G102">
        <v>8.7539289999999994</v>
      </c>
      <c r="H102">
        <v>8.82</v>
      </c>
    </row>
    <row r="103" spans="1:8" x14ac:dyDescent="0.25">
      <c r="A103">
        <v>2002</v>
      </c>
      <c r="B103" t="s">
        <v>30</v>
      </c>
      <c r="C103">
        <v>26.8</v>
      </c>
      <c r="D103">
        <v>286.432183359183</v>
      </c>
      <c r="E103">
        <v>396.504545263946</v>
      </c>
      <c r="F103">
        <v>15391693.869281</v>
      </c>
      <c r="G103">
        <v>9.8447429999999994</v>
      </c>
      <c r="H103">
        <v>10.7</v>
      </c>
    </row>
    <row r="104" spans="1:8" x14ac:dyDescent="0.25">
      <c r="A104">
        <v>2002</v>
      </c>
      <c r="B104" t="s">
        <v>31</v>
      </c>
      <c r="C104">
        <v>26.6</v>
      </c>
      <c r="D104">
        <v>286.432183359183</v>
      </c>
      <c r="E104">
        <v>396.504545263946</v>
      </c>
      <c r="F104">
        <v>15391693.869281</v>
      </c>
      <c r="G104">
        <v>12.29222</v>
      </c>
      <c r="H104">
        <v>12.41</v>
      </c>
    </row>
    <row r="105" spans="1:8" x14ac:dyDescent="0.25">
      <c r="A105">
        <v>2002</v>
      </c>
      <c r="B105" t="s">
        <v>32</v>
      </c>
      <c r="C105">
        <v>26.2</v>
      </c>
      <c r="D105">
        <v>286.432183359183</v>
      </c>
      <c r="E105">
        <v>396.504545263946</v>
      </c>
      <c r="F105">
        <v>15391693.869281</v>
      </c>
      <c r="G105">
        <v>13.199396</v>
      </c>
      <c r="H105">
        <v>13.6</v>
      </c>
    </row>
    <row r="106" spans="1:8" x14ac:dyDescent="0.25">
      <c r="A106">
        <v>2002</v>
      </c>
      <c r="B106" t="s">
        <v>33</v>
      </c>
      <c r="C106">
        <v>19.399999999999999</v>
      </c>
      <c r="D106">
        <v>286.432183359183</v>
      </c>
      <c r="E106">
        <v>396.504545263946</v>
      </c>
      <c r="F106">
        <v>15391693.869281</v>
      </c>
      <c r="G106">
        <v>0.77176535000000002</v>
      </c>
      <c r="H106">
        <v>0.67</v>
      </c>
    </row>
    <row r="107" spans="1:8" x14ac:dyDescent="0.25">
      <c r="A107">
        <v>2002</v>
      </c>
      <c r="B107" t="s">
        <v>34</v>
      </c>
      <c r="C107">
        <v>24.5</v>
      </c>
      <c r="D107">
        <v>286.432183359183</v>
      </c>
      <c r="E107">
        <v>396.504545263946</v>
      </c>
      <c r="F107">
        <v>15391693.869281</v>
      </c>
      <c r="G107">
        <v>4.7330360000000002</v>
      </c>
      <c r="H107">
        <v>4.5999999999999996</v>
      </c>
    </row>
    <row r="108" spans="1:8" x14ac:dyDescent="0.25">
      <c r="A108">
        <v>2002</v>
      </c>
      <c r="B108" t="s">
        <v>35</v>
      </c>
      <c r="C108">
        <v>27.2</v>
      </c>
      <c r="D108">
        <v>286.432183359183</v>
      </c>
      <c r="E108">
        <v>396.504545263946</v>
      </c>
      <c r="F108">
        <v>15391693.869281</v>
      </c>
      <c r="G108">
        <v>12.018231</v>
      </c>
      <c r="H108">
        <v>12.05</v>
      </c>
    </row>
    <row r="109" spans="1:8" x14ac:dyDescent="0.25">
      <c r="A109">
        <v>2002</v>
      </c>
      <c r="B109" t="s">
        <v>36</v>
      </c>
      <c r="C109">
        <v>26.2</v>
      </c>
      <c r="D109">
        <v>286.432183359183</v>
      </c>
      <c r="E109">
        <v>396.504545263946</v>
      </c>
      <c r="F109">
        <v>15391693.869281</v>
      </c>
      <c r="G109">
        <v>12.340904</v>
      </c>
      <c r="H109">
        <v>12.37</v>
      </c>
    </row>
    <row r="110" spans="1:8" x14ac:dyDescent="0.25">
      <c r="A110">
        <v>2002</v>
      </c>
      <c r="B110" t="s">
        <v>37</v>
      </c>
      <c r="C110">
        <v>26.8</v>
      </c>
      <c r="D110">
        <v>286.432183359183</v>
      </c>
      <c r="E110">
        <v>396.504545263946</v>
      </c>
      <c r="F110">
        <v>15391693.869281</v>
      </c>
      <c r="G110">
        <v>11.372693999999999</v>
      </c>
      <c r="H110">
        <v>13.45</v>
      </c>
    </row>
    <row r="111" spans="1:8" x14ac:dyDescent="0.25">
      <c r="A111">
        <v>2002</v>
      </c>
      <c r="B111" t="s">
        <v>38</v>
      </c>
      <c r="C111">
        <v>26.8</v>
      </c>
      <c r="D111">
        <v>286.432183359183</v>
      </c>
      <c r="E111">
        <v>396.504545263946</v>
      </c>
      <c r="F111">
        <v>15391693.869281</v>
      </c>
      <c r="G111">
        <v>11.958066000000001</v>
      </c>
      <c r="H111">
        <v>12.77</v>
      </c>
    </row>
    <row r="112" spans="1:8" x14ac:dyDescent="0.25">
      <c r="A112">
        <v>2002</v>
      </c>
      <c r="B112" t="s">
        <v>39</v>
      </c>
      <c r="C112">
        <v>24.9</v>
      </c>
      <c r="D112">
        <v>286.432183359183</v>
      </c>
      <c r="E112">
        <v>396.504545263946</v>
      </c>
      <c r="F112">
        <v>15391693.869281</v>
      </c>
      <c r="G112">
        <v>12.237007999999999</v>
      </c>
      <c r="H112">
        <v>12.73</v>
      </c>
    </row>
    <row r="113" spans="1:8" x14ac:dyDescent="0.25">
      <c r="A113">
        <v>2002</v>
      </c>
      <c r="B113" t="s">
        <v>40</v>
      </c>
      <c r="C113">
        <v>25.7</v>
      </c>
      <c r="D113">
        <v>286.432183359183</v>
      </c>
      <c r="E113">
        <v>396.504545263946</v>
      </c>
      <c r="F113">
        <v>15391693.869281</v>
      </c>
      <c r="G113">
        <v>11.418971000000001</v>
      </c>
      <c r="H113">
        <v>11.94</v>
      </c>
    </row>
    <row r="114" spans="1:8" x14ac:dyDescent="0.25">
      <c r="A114">
        <v>2002</v>
      </c>
      <c r="B114" t="s">
        <v>41</v>
      </c>
      <c r="C114">
        <v>26.1</v>
      </c>
      <c r="D114">
        <v>286.432183359183</v>
      </c>
      <c r="E114">
        <v>396.504545263946</v>
      </c>
      <c r="F114">
        <v>15391693.869281</v>
      </c>
      <c r="G114">
        <v>11.417154</v>
      </c>
      <c r="H114">
        <v>11.23</v>
      </c>
    </row>
    <row r="115" spans="1:8" x14ac:dyDescent="0.25">
      <c r="A115">
        <v>2002</v>
      </c>
      <c r="B115" t="s">
        <v>42</v>
      </c>
      <c r="C115">
        <v>26.4</v>
      </c>
      <c r="D115">
        <v>286.432183359183</v>
      </c>
      <c r="E115">
        <v>396.504545263946</v>
      </c>
      <c r="F115">
        <v>15391693.869281</v>
      </c>
      <c r="G115">
        <v>6.5017446999999997</v>
      </c>
      <c r="H115">
        <v>6.16</v>
      </c>
    </row>
    <row r="116" spans="1:8" x14ac:dyDescent="0.25">
      <c r="A116">
        <v>2003</v>
      </c>
      <c r="B116" t="s">
        <v>27</v>
      </c>
      <c r="C116">
        <v>26</v>
      </c>
      <c r="D116">
        <v>287.21223499572301</v>
      </c>
      <c r="E116">
        <v>360.845110476017</v>
      </c>
      <c r="F116">
        <v>16407922.356209099</v>
      </c>
      <c r="G116">
        <v>9.9912349999999996</v>
      </c>
      <c r="H116">
        <v>8.57</v>
      </c>
    </row>
    <row r="117" spans="1:8" x14ac:dyDescent="0.25">
      <c r="A117">
        <v>2003</v>
      </c>
      <c r="B117" t="s">
        <v>19</v>
      </c>
      <c r="C117">
        <v>26.6</v>
      </c>
      <c r="D117">
        <v>287.21223499572301</v>
      </c>
      <c r="E117">
        <v>360.845110476017</v>
      </c>
      <c r="F117">
        <v>16407922.356209099</v>
      </c>
      <c r="G117">
        <v>10.473602</v>
      </c>
      <c r="H117">
        <v>10.62</v>
      </c>
    </row>
    <row r="118" spans="1:8" x14ac:dyDescent="0.25">
      <c r="A118">
        <v>2003</v>
      </c>
      <c r="B118" t="s">
        <v>14</v>
      </c>
      <c r="C118">
        <v>28</v>
      </c>
      <c r="D118">
        <v>287.21223499572301</v>
      </c>
      <c r="E118">
        <v>360.845110476017</v>
      </c>
      <c r="F118">
        <v>16407922.356209099</v>
      </c>
      <c r="G118">
        <v>10.077874</v>
      </c>
      <c r="H118">
        <v>9.9700000000000006</v>
      </c>
    </row>
    <row r="119" spans="1:8" x14ac:dyDescent="0.25">
      <c r="A119">
        <v>2003</v>
      </c>
      <c r="B119" t="s">
        <v>25</v>
      </c>
      <c r="C119">
        <v>24.9</v>
      </c>
      <c r="D119">
        <v>287.21223499572301</v>
      </c>
      <c r="E119">
        <v>360.845110476017</v>
      </c>
      <c r="F119">
        <v>16407922.356209099</v>
      </c>
      <c r="G119">
        <v>1.9642065</v>
      </c>
      <c r="H119">
        <v>2.1</v>
      </c>
    </row>
    <row r="120" spans="1:8" x14ac:dyDescent="0.25">
      <c r="A120">
        <v>2003</v>
      </c>
      <c r="B120" t="s">
        <v>28</v>
      </c>
      <c r="C120">
        <v>24</v>
      </c>
      <c r="D120">
        <v>287.21223499572301</v>
      </c>
      <c r="E120">
        <v>360.845110476017</v>
      </c>
      <c r="F120">
        <v>16407922.356209099</v>
      </c>
      <c r="G120">
        <v>3.6876492999999999</v>
      </c>
      <c r="H120">
        <v>3.85</v>
      </c>
    </row>
    <row r="121" spans="1:8" x14ac:dyDescent="0.25">
      <c r="A121">
        <v>2003</v>
      </c>
      <c r="B121" t="s">
        <v>29</v>
      </c>
      <c r="C121">
        <v>26.9</v>
      </c>
      <c r="D121">
        <v>287.21223499572301</v>
      </c>
      <c r="E121">
        <v>360.845110476017</v>
      </c>
      <c r="F121">
        <v>16407922.356209099</v>
      </c>
      <c r="G121">
        <v>6.1816114999999998</v>
      </c>
      <c r="H121">
        <v>6.49</v>
      </c>
    </row>
    <row r="122" spans="1:8" x14ac:dyDescent="0.25">
      <c r="A122">
        <v>2003</v>
      </c>
      <c r="B122" t="s">
        <v>30</v>
      </c>
      <c r="C122">
        <v>26.8</v>
      </c>
      <c r="D122">
        <v>287.21223499572301</v>
      </c>
      <c r="E122">
        <v>360.845110476017</v>
      </c>
      <c r="F122">
        <v>16407922.356209099</v>
      </c>
      <c r="G122">
        <v>7.2739444000000004</v>
      </c>
      <c r="H122">
        <v>7.27</v>
      </c>
    </row>
    <row r="123" spans="1:8" x14ac:dyDescent="0.25">
      <c r="A123">
        <v>2003</v>
      </c>
      <c r="B123" t="s">
        <v>31</v>
      </c>
      <c r="C123">
        <v>27.8</v>
      </c>
      <c r="D123">
        <v>287.21223499572301</v>
      </c>
      <c r="E123">
        <v>360.845110476017</v>
      </c>
      <c r="F123">
        <v>16407922.356209099</v>
      </c>
      <c r="G123">
        <v>7.5631595000000003</v>
      </c>
      <c r="H123">
        <v>7.32</v>
      </c>
    </row>
    <row r="124" spans="1:8" x14ac:dyDescent="0.25">
      <c r="A124">
        <v>2003</v>
      </c>
      <c r="B124" t="s">
        <v>32</v>
      </c>
      <c r="C124">
        <v>27.9</v>
      </c>
      <c r="D124">
        <v>287.21223499572301</v>
      </c>
      <c r="E124">
        <v>360.845110476017</v>
      </c>
      <c r="F124">
        <v>16407922.356209099</v>
      </c>
      <c r="G124">
        <v>8.9609220000000001</v>
      </c>
      <c r="H124">
        <v>9.07</v>
      </c>
    </row>
    <row r="125" spans="1:8" x14ac:dyDescent="0.25">
      <c r="A125">
        <v>2003</v>
      </c>
      <c r="B125" t="s">
        <v>33</v>
      </c>
      <c r="C125">
        <v>21.2</v>
      </c>
      <c r="D125">
        <v>287.21223499572301</v>
      </c>
      <c r="E125">
        <v>360.845110476017</v>
      </c>
      <c r="F125">
        <v>16407922.356209099</v>
      </c>
      <c r="G125">
        <v>1.9126034000000001</v>
      </c>
      <c r="H125">
        <v>1.88</v>
      </c>
    </row>
    <row r="126" spans="1:8" x14ac:dyDescent="0.25">
      <c r="A126">
        <v>2003</v>
      </c>
      <c r="B126" t="s">
        <v>34</v>
      </c>
      <c r="C126">
        <v>25.1</v>
      </c>
      <c r="D126">
        <v>287.21223499572301</v>
      </c>
      <c r="E126">
        <v>360.845110476017</v>
      </c>
      <c r="F126">
        <v>16407922.356209099</v>
      </c>
      <c r="G126">
        <v>2.5148244000000002</v>
      </c>
      <c r="H126">
        <v>4.87</v>
      </c>
    </row>
    <row r="127" spans="1:8" x14ac:dyDescent="0.25">
      <c r="A127">
        <v>2003</v>
      </c>
      <c r="B127" t="s">
        <v>35</v>
      </c>
      <c r="C127">
        <v>27.2</v>
      </c>
      <c r="D127">
        <v>287.21223499572301</v>
      </c>
      <c r="E127">
        <v>360.845110476017</v>
      </c>
      <c r="F127">
        <v>16407922.356209099</v>
      </c>
      <c r="G127">
        <v>7.9335336999999999</v>
      </c>
      <c r="H127">
        <v>7.92</v>
      </c>
    </row>
    <row r="128" spans="1:8" x14ac:dyDescent="0.25">
      <c r="A128">
        <v>2003</v>
      </c>
      <c r="B128" t="s">
        <v>36</v>
      </c>
      <c r="C128">
        <v>27.4</v>
      </c>
      <c r="D128">
        <v>287.21223499572301</v>
      </c>
      <c r="E128">
        <v>360.845110476017</v>
      </c>
      <c r="F128">
        <v>16407922.356209099</v>
      </c>
      <c r="G128">
        <v>8.9971759999999996</v>
      </c>
      <c r="H128">
        <v>8.43</v>
      </c>
    </row>
    <row r="129" spans="1:8" x14ac:dyDescent="0.25">
      <c r="A129">
        <v>2003</v>
      </c>
      <c r="B129" t="s">
        <v>37</v>
      </c>
      <c r="C129">
        <v>28</v>
      </c>
      <c r="D129">
        <v>287.21223499572301</v>
      </c>
      <c r="E129">
        <v>360.845110476017</v>
      </c>
      <c r="F129">
        <v>16407922.356209099</v>
      </c>
      <c r="G129">
        <v>8.5631120000000003</v>
      </c>
      <c r="H129">
        <v>8.35</v>
      </c>
    </row>
    <row r="130" spans="1:8" x14ac:dyDescent="0.25">
      <c r="A130">
        <v>2003</v>
      </c>
      <c r="B130" t="s">
        <v>38</v>
      </c>
      <c r="C130">
        <v>27.6</v>
      </c>
      <c r="D130">
        <v>287.21223499572301</v>
      </c>
      <c r="E130">
        <v>360.845110476017</v>
      </c>
      <c r="F130">
        <v>16407922.356209099</v>
      </c>
      <c r="G130">
        <v>8.2876799999999999</v>
      </c>
      <c r="H130">
        <v>8.23</v>
      </c>
    </row>
    <row r="131" spans="1:8" x14ac:dyDescent="0.25">
      <c r="A131">
        <v>2003</v>
      </c>
      <c r="B131" t="s">
        <v>39</v>
      </c>
      <c r="C131">
        <v>26.3</v>
      </c>
      <c r="D131">
        <v>287.21223499572301</v>
      </c>
      <c r="E131">
        <v>360.845110476017</v>
      </c>
      <c r="F131">
        <v>16407922.356209099</v>
      </c>
      <c r="G131">
        <v>8.6267399999999999</v>
      </c>
      <c r="H131">
        <v>8.56</v>
      </c>
    </row>
    <row r="132" spans="1:8" x14ac:dyDescent="0.25">
      <c r="A132">
        <v>2003</v>
      </c>
      <c r="B132" t="s">
        <v>40</v>
      </c>
      <c r="C132">
        <v>25.6</v>
      </c>
      <c r="D132">
        <v>287.21223499572301</v>
      </c>
      <c r="E132">
        <v>360.845110476017</v>
      </c>
      <c r="F132">
        <v>16407922.356209099</v>
      </c>
      <c r="G132">
        <v>7.5294147000000002</v>
      </c>
      <c r="H132">
        <v>7.57</v>
      </c>
    </row>
    <row r="133" spans="1:8" x14ac:dyDescent="0.25">
      <c r="A133">
        <v>2003</v>
      </c>
      <c r="B133" t="s">
        <v>41</v>
      </c>
      <c r="C133">
        <v>25.5</v>
      </c>
      <c r="D133">
        <v>287.21223499572301</v>
      </c>
      <c r="E133">
        <v>360.845110476017</v>
      </c>
      <c r="F133">
        <v>16407922.356209099</v>
      </c>
      <c r="G133">
        <v>7.1918350000000002</v>
      </c>
      <c r="H133">
        <v>7.36</v>
      </c>
    </row>
    <row r="134" spans="1:8" x14ac:dyDescent="0.25">
      <c r="A134">
        <v>2003</v>
      </c>
      <c r="B134" t="s">
        <v>42</v>
      </c>
      <c r="C134">
        <v>27.2</v>
      </c>
      <c r="D134">
        <v>287.21223499572301</v>
      </c>
      <c r="E134">
        <v>360.845110476017</v>
      </c>
      <c r="F134">
        <v>16407922.356209099</v>
      </c>
      <c r="G134">
        <v>6.9771729999999996</v>
      </c>
      <c r="H134">
        <v>7.07</v>
      </c>
    </row>
    <row r="135" spans="1:8" x14ac:dyDescent="0.25">
      <c r="A135">
        <v>2004</v>
      </c>
      <c r="B135" t="s">
        <v>27</v>
      </c>
      <c r="C135">
        <v>31.5</v>
      </c>
      <c r="D135">
        <v>286.72504719254198</v>
      </c>
      <c r="E135">
        <v>432.22892597527198</v>
      </c>
      <c r="F135">
        <v>15845144.993464001</v>
      </c>
      <c r="G135">
        <v>22.666202999999999</v>
      </c>
      <c r="H135">
        <v>23.13</v>
      </c>
    </row>
    <row r="136" spans="1:8" x14ac:dyDescent="0.25">
      <c r="A136">
        <v>2004</v>
      </c>
      <c r="B136" t="s">
        <v>19</v>
      </c>
      <c r="C136">
        <v>30.1</v>
      </c>
      <c r="D136">
        <v>286.72504719254198</v>
      </c>
      <c r="E136">
        <v>432.22892597527198</v>
      </c>
      <c r="F136">
        <v>15845144.993464001</v>
      </c>
      <c r="G136">
        <v>17.519590000000001</v>
      </c>
      <c r="H136">
        <v>17.55</v>
      </c>
    </row>
    <row r="137" spans="1:8" x14ac:dyDescent="0.25">
      <c r="A137">
        <v>2004</v>
      </c>
      <c r="B137" t="s">
        <v>14</v>
      </c>
      <c r="C137">
        <v>31.8</v>
      </c>
      <c r="D137">
        <v>286.72504719254198</v>
      </c>
      <c r="E137">
        <v>432.22892597527198</v>
      </c>
      <c r="F137">
        <v>15845144.993464001</v>
      </c>
      <c r="G137">
        <v>17.111609999999999</v>
      </c>
      <c r="H137">
        <v>16.78</v>
      </c>
    </row>
    <row r="138" spans="1:8" x14ac:dyDescent="0.25">
      <c r="A138">
        <v>2004</v>
      </c>
      <c r="B138" t="s">
        <v>25</v>
      </c>
      <c r="C138">
        <v>22.8</v>
      </c>
      <c r="D138">
        <v>286.72504719254198</v>
      </c>
      <c r="E138">
        <v>432.22892597527198</v>
      </c>
      <c r="F138">
        <v>15845144.993464001</v>
      </c>
      <c r="G138">
        <v>1.6279737999999999</v>
      </c>
      <c r="H138">
        <v>1.56</v>
      </c>
    </row>
    <row r="139" spans="1:8" x14ac:dyDescent="0.25">
      <c r="A139">
        <v>2004</v>
      </c>
      <c r="B139" t="s">
        <v>28</v>
      </c>
      <c r="C139">
        <v>20.9</v>
      </c>
      <c r="D139">
        <v>286.72504719254198</v>
      </c>
      <c r="E139">
        <v>432.22892597527198</v>
      </c>
      <c r="F139">
        <v>15845144.993464001</v>
      </c>
      <c r="G139">
        <v>3.1387331000000001</v>
      </c>
      <c r="H139">
        <v>0.97</v>
      </c>
    </row>
    <row r="140" spans="1:8" x14ac:dyDescent="0.25">
      <c r="A140">
        <v>2004</v>
      </c>
      <c r="B140" t="s">
        <v>29</v>
      </c>
      <c r="C140">
        <v>25.5</v>
      </c>
      <c r="D140">
        <v>286.72504719254198</v>
      </c>
      <c r="E140">
        <v>432.22892597527198</v>
      </c>
      <c r="F140">
        <v>15845144.993464001</v>
      </c>
      <c r="G140">
        <v>3.7178599999999999</v>
      </c>
      <c r="H140">
        <v>3.27</v>
      </c>
    </row>
    <row r="141" spans="1:8" x14ac:dyDescent="0.25">
      <c r="A141">
        <v>2004</v>
      </c>
      <c r="B141" t="s">
        <v>30</v>
      </c>
      <c r="C141">
        <v>27.8</v>
      </c>
      <c r="D141">
        <v>286.72504719254198</v>
      </c>
      <c r="E141">
        <v>432.22892597527198</v>
      </c>
      <c r="F141">
        <v>15845144.993464001</v>
      </c>
      <c r="G141">
        <v>11.8402195</v>
      </c>
      <c r="H141">
        <v>11.97</v>
      </c>
    </row>
    <row r="142" spans="1:8" x14ac:dyDescent="0.25">
      <c r="A142">
        <v>2004</v>
      </c>
      <c r="B142" t="s">
        <v>31</v>
      </c>
      <c r="C142">
        <v>28.7</v>
      </c>
      <c r="D142">
        <v>286.72504719254198</v>
      </c>
      <c r="E142">
        <v>432.22892597527198</v>
      </c>
      <c r="F142">
        <v>15845144.993464001</v>
      </c>
      <c r="G142">
        <v>14.849231</v>
      </c>
      <c r="H142">
        <v>15.13</v>
      </c>
    </row>
    <row r="143" spans="1:8" x14ac:dyDescent="0.25">
      <c r="A143">
        <v>2004</v>
      </c>
      <c r="B143" t="s">
        <v>32</v>
      </c>
      <c r="C143">
        <v>30.2</v>
      </c>
      <c r="D143">
        <v>286.72504719254198</v>
      </c>
      <c r="E143">
        <v>432.22892597527198</v>
      </c>
      <c r="F143">
        <v>15845144.993464001</v>
      </c>
      <c r="G143">
        <v>16.199874999999999</v>
      </c>
      <c r="H143">
        <v>16.12</v>
      </c>
    </row>
    <row r="144" spans="1:8" x14ac:dyDescent="0.25">
      <c r="A144">
        <v>2004</v>
      </c>
      <c r="B144" t="s">
        <v>33</v>
      </c>
      <c r="C144">
        <v>22.6</v>
      </c>
      <c r="D144">
        <v>286.72504719254198</v>
      </c>
      <c r="E144">
        <v>432.22892597527198</v>
      </c>
      <c r="F144">
        <v>15845144.993464001</v>
      </c>
      <c r="G144">
        <v>5.2978449999999997</v>
      </c>
      <c r="H144">
        <v>5.33</v>
      </c>
    </row>
    <row r="145" spans="1:8" x14ac:dyDescent="0.25">
      <c r="A145">
        <v>2004</v>
      </c>
      <c r="B145" t="s">
        <v>34</v>
      </c>
      <c r="C145">
        <v>27.4</v>
      </c>
      <c r="D145">
        <v>286.72504719254198</v>
      </c>
      <c r="E145">
        <v>432.22892597527198</v>
      </c>
      <c r="F145">
        <v>15845144.993464001</v>
      </c>
      <c r="G145">
        <v>9.3339189999999999</v>
      </c>
      <c r="H145">
        <v>9.31</v>
      </c>
    </row>
    <row r="146" spans="1:8" x14ac:dyDescent="0.25">
      <c r="A146">
        <v>2004</v>
      </c>
      <c r="B146" t="s">
        <v>35</v>
      </c>
      <c r="C146">
        <v>27</v>
      </c>
      <c r="D146">
        <v>286.72504719254198</v>
      </c>
      <c r="E146">
        <v>432.22892597527198</v>
      </c>
      <c r="F146">
        <v>15845144.993464001</v>
      </c>
      <c r="G146">
        <v>13.487780000000001</v>
      </c>
      <c r="H146">
        <v>13.67</v>
      </c>
    </row>
    <row r="147" spans="1:8" x14ac:dyDescent="0.25">
      <c r="A147">
        <v>2004</v>
      </c>
      <c r="B147" t="s">
        <v>36</v>
      </c>
      <c r="C147">
        <v>28</v>
      </c>
      <c r="D147">
        <v>286.72504719254198</v>
      </c>
      <c r="E147">
        <v>432.22892597527198</v>
      </c>
      <c r="F147">
        <v>15845144.993464001</v>
      </c>
      <c r="G147">
        <v>13.446505</v>
      </c>
      <c r="H147">
        <v>13.65</v>
      </c>
    </row>
    <row r="148" spans="1:8" x14ac:dyDescent="0.25">
      <c r="A148">
        <v>2004</v>
      </c>
      <c r="B148" t="s">
        <v>37</v>
      </c>
      <c r="C148">
        <v>29.1</v>
      </c>
      <c r="D148">
        <v>286.72504719254198</v>
      </c>
      <c r="E148">
        <v>432.22892597527198</v>
      </c>
      <c r="F148">
        <v>15845144.993464001</v>
      </c>
      <c r="G148">
        <v>14.210754</v>
      </c>
      <c r="H148">
        <v>13.77</v>
      </c>
    </row>
    <row r="149" spans="1:8" x14ac:dyDescent="0.25">
      <c r="A149">
        <v>2004</v>
      </c>
      <c r="B149" t="s">
        <v>38</v>
      </c>
      <c r="C149">
        <v>27.7</v>
      </c>
      <c r="D149">
        <v>286.72504719254198</v>
      </c>
      <c r="E149">
        <v>432.22892597527198</v>
      </c>
      <c r="F149">
        <v>15845144.993464001</v>
      </c>
      <c r="G149">
        <v>13.316108</v>
      </c>
      <c r="H149">
        <v>13.67</v>
      </c>
    </row>
    <row r="150" spans="1:8" x14ac:dyDescent="0.25">
      <c r="A150">
        <v>2004</v>
      </c>
      <c r="B150" t="s">
        <v>39</v>
      </c>
      <c r="C150">
        <v>28.5</v>
      </c>
      <c r="D150">
        <v>286.72504719254198</v>
      </c>
      <c r="E150">
        <v>432.22892597527198</v>
      </c>
      <c r="F150">
        <v>15845144.993464001</v>
      </c>
      <c r="G150">
        <v>14.539993000000001</v>
      </c>
      <c r="H150">
        <v>13.6</v>
      </c>
    </row>
    <row r="151" spans="1:8" x14ac:dyDescent="0.25">
      <c r="A151">
        <v>2004</v>
      </c>
      <c r="B151" t="s">
        <v>40</v>
      </c>
      <c r="C151">
        <v>28.3</v>
      </c>
      <c r="D151">
        <v>286.72504719254198</v>
      </c>
      <c r="E151">
        <v>432.22892597527198</v>
      </c>
      <c r="F151">
        <v>15845144.993464001</v>
      </c>
      <c r="G151">
        <v>13.361504999999999</v>
      </c>
      <c r="H151">
        <v>13.01</v>
      </c>
    </row>
    <row r="152" spans="1:8" x14ac:dyDescent="0.25">
      <c r="A152">
        <v>2004</v>
      </c>
      <c r="B152" t="s">
        <v>41</v>
      </c>
      <c r="C152">
        <v>31.6</v>
      </c>
      <c r="D152">
        <v>286.72504719254198</v>
      </c>
      <c r="E152">
        <v>432.22892597527198</v>
      </c>
      <c r="F152">
        <v>15845144.993464001</v>
      </c>
      <c r="G152">
        <v>16.812270999999999</v>
      </c>
      <c r="H152">
        <v>16.89</v>
      </c>
    </row>
    <row r="153" spans="1:8" x14ac:dyDescent="0.25">
      <c r="A153">
        <v>2004</v>
      </c>
      <c r="B153" t="s">
        <v>42</v>
      </c>
      <c r="C153">
        <v>22.8</v>
      </c>
      <c r="D153">
        <v>286.72504719254198</v>
      </c>
      <c r="E153">
        <v>432.22892597527198</v>
      </c>
      <c r="F153">
        <v>15845144.993464001</v>
      </c>
      <c r="G153">
        <v>5.9440010000000001</v>
      </c>
      <c r="H153">
        <v>5.86</v>
      </c>
    </row>
    <row r="154" spans="1:8" x14ac:dyDescent="0.25">
      <c r="A154">
        <v>2005</v>
      </c>
      <c r="B154" t="s">
        <v>27</v>
      </c>
      <c r="C154">
        <v>31.8</v>
      </c>
      <c r="D154">
        <v>286.60719349181699</v>
      </c>
      <c r="E154">
        <v>388.64439420401999</v>
      </c>
      <c r="F154">
        <v>15810205.490196001</v>
      </c>
      <c r="G154">
        <v>19.99859</v>
      </c>
      <c r="H154">
        <v>20.09</v>
      </c>
    </row>
    <row r="155" spans="1:8" x14ac:dyDescent="0.25">
      <c r="A155">
        <v>2005</v>
      </c>
      <c r="B155" t="s">
        <v>43</v>
      </c>
      <c r="C155">
        <v>36.5</v>
      </c>
      <c r="D155">
        <v>286.60719349181699</v>
      </c>
      <c r="E155">
        <v>388.64439420401999</v>
      </c>
      <c r="F155">
        <v>15810205.490196001</v>
      </c>
      <c r="G155">
        <v>18.29804</v>
      </c>
      <c r="H155">
        <v>22.26</v>
      </c>
    </row>
    <row r="156" spans="1:8" x14ac:dyDescent="0.25">
      <c r="A156">
        <v>2005</v>
      </c>
      <c r="B156" t="s">
        <v>14</v>
      </c>
      <c r="C156">
        <v>26.8</v>
      </c>
      <c r="D156">
        <v>286.60719349181699</v>
      </c>
      <c r="E156">
        <v>388.64439420401999</v>
      </c>
      <c r="F156">
        <v>15810205.490196001</v>
      </c>
      <c r="G156">
        <v>13.407733</v>
      </c>
      <c r="H156">
        <v>14.02</v>
      </c>
    </row>
    <row r="157" spans="1:8" x14ac:dyDescent="0.25">
      <c r="A157">
        <v>2005</v>
      </c>
      <c r="B157" t="s">
        <v>25</v>
      </c>
      <c r="C157">
        <v>27.8</v>
      </c>
      <c r="D157">
        <v>286.60719349181699</v>
      </c>
      <c r="E157">
        <v>388.64439420401999</v>
      </c>
      <c r="F157">
        <v>15810205.490196001</v>
      </c>
      <c r="G157">
        <v>3.0790799</v>
      </c>
      <c r="H157">
        <v>2.65</v>
      </c>
    </row>
    <row r="158" spans="1:8" x14ac:dyDescent="0.25">
      <c r="A158">
        <v>2005</v>
      </c>
      <c r="B158" t="s">
        <v>28</v>
      </c>
      <c r="C158">
        <v>27.1</v>
      </c>
      <c r="D158">
        <v>286.60719349181699</v>
      </c>
      <c r="E158">
        <v>388.64439420401999</v>
      </c>
      <c r="F158">
        <v>15810205.490196001</v>
      </c>
      <c r="G158">
        <v>3.6709442000000001</v>
      </c>
      <c r="H158">
        <v>3.21</v>
      </c>
    </row>
    <row r="159" spans="1:8" x14ac:dyDescent="0.25">
      <c r="A159">
        <v>2005</v>
      </c>
      <c r="B159" t="s">
        <v>29</v>
      </c>
      <c r="C159">
        <v>28.7</v>
      </c>
      <c r="D159">
        <v>286.60719349181699</v>
      </c>
      <c r="E159">
        <v>388.64439420401999</v>
      </c>
      <c r="F159">
        <v>15810205.490196001</v>
      </c>
      <c r="G159">
        <v>9.7584095000000008</v>
      </c>
      <c r="H159">
        <v>9.8800000000000008</v>
      </c>
    </row>
    <row r="160" spans="1:8" x14ac:dyDescent="0.25">
      <c r="A160">
        <v>2005</v>
      </c>
      <c r="B160" t="s">
        <v>30</v>
      </c>
      <c r="C160">
        <v>28.9</v>
      </c>
      <c r="D160">
        <v>286.60719349181699</v>
      </c>
      <c r="E160">
        <v>388.64439420401999</v>
      </c>
      <c r="F160">
        <v>15810205.490196001</v>
      </c>
      <c r="G160">
        <v>12.074488000000001</v>
      </c>
      <c r="H160">
        <v>13.17</v>
      </c>
    </row>
    <row r="161" spans="1:8" x14ac:dyDescent="0.25">
      <c r="A161">
        <v>2005</v>
      </c>
      <c r="B161" t="s">
        <v>31</v>
      </c>
      <c r="C161">
        <v>30.2</v>
      </c>
      <c r="D161">
        <v>286.60719349181699</v>
      </c>
      <c r="E161">
        <v>388.64439420401999</v>
      </c>
      <c r="F161">
        <v>15810205.490196001</v>
      </c>
      <c r="G161">
        <v>14.868990999999999</v>
      </c>
      <c r="H161">
        <v>14.85</v>
      </c>
    </row>
    <row r="162" spans="1:8" x14ac:dyDescent="0.25">
      <c r="A162">
        <v>2005</v>
      </c>
      <c r="B162" t="s">
        <v>32</v>
      </c>
      <c r="C162">
        <v>26.5</v>
      </c>
      <c r="D162">
        <v>286.60719349181699</v>
      </c>
      <c r="E162">
        <v>388.64439420401999</v>
      </c>
      <c r="F162">
        <v>15810205.490196001</v>
      </c>
      <c r="G162">
        <v>11.827425</v>
      </c>
      <c r="H162">
        <v>12.2</v>
      </c>
    </row>
    <row r="163" spans="1:8" x14ac:dyDescent="0.25">
      <c r="A163">
        <v>2005</v>
      </c>
      <c r="B163" t="s">
        <v>33</v>
      </c>
      <c r="C163">
        <v>26.3</v>
      </c>
      <c r="D163">
        <v>286.60719349181699</v>
      </c>
      <c r="E163">
        <v>388.64439420401999</v>
      </c>
      <c r="F163">
        <v>15810205.490196001</v>
      </c>
      <c r="G163">
        <v>4.2148890000000003</v>
      </c>
      <c r="H163">
        <v>4.0599999999999996</v>
      </c>
    </row>
    <row r="164" spans="1:8" x14ac:dyDescent="0.25">
      <c r="A164">
        <v>2005</v>
      </c>
      <c r="B164" t="s">
        <v>34</v>
      </c>
      <c r="C164">
        <v>34</v>
      </c>
      <c r="D164">
        <v>286.60719349181699</v>
      </c>
      <c r="E164">
        <v>388.64439420401999</v>
      </c>
      <c r="F164">
        <v>15810205.490196001</v>
      </c>
      <c r="G164">
        <v>11.6678</v>
      </c>
      <c r="H164">
        <v>11.51</v>
      </c>
    </row>
    <row r="165" spans="1:8" x14ac:dyDescent="0.25">
      <c r="A165">
        <v>2005</v>
      </c>
      <c r="B165" t="s">
        <v>35</v>
      </c>
      <c r="C165">
        <v>32.1</v>
      </c>
      <c r="D165">
        <v>286.60719349181699</v>
      </c>
      <c r="E165">
        <v>388.64439420401999</v>
      </c>
      <c r="F165">
        <v>15810205.490196001</v>
      </c>
      <c r="G165">
        <v>17.011151999999999</v>
      </c>
      <c r="H165">
        <v>16.170000000000002</v>
      </c>
    </row>
    <row r="166" spans="1:8" x14ac:dyDescent="0.25">
      <c r="A166">
        <v>2005</v>
      </c>
      <c r="B166" t="s">
        <v>36</v>
      </c>
      <c r="C166">
        <v>29.1</v>
      </c>
      <c r="D166">
        <v>286.60719349181699</v>
      </c>
      <c r="E166">
        <v>388.64439420401999</v>
      </c>
      <c r="F166">
        <v>15810205.490196001</v>
      </c>
      <c r="G166">
        <v>13.760159</v>
      </c>
      <c r="H166">
        <v>13.71</v>
      </c>
    </row>
    <row r="167" spans="1:8" x14ac:dyDescent="0.25">
      <c r="A167">
        <v>2005</v>
      </c>
      <c r="B167" t="s">
        <v>37</v>
      </c>
      <c r="C167">
        <v>33.700000000000003</v>
      </c>
      <c r="D167">
        <v>286.60719349181699</v>
      </c>
      <c r="E167">
        <v>388.64439420401999</v>
      </c>
      <c r="F167">
        <v>15810205.490196001</v>
      </c>
      <c r="G167">
        <v>17.380882</v>
      </c>
      <c r="H167">
        <v>17.68</v>
      </c>
    </row>
    <row r="168" spans="1:8" x14ac:dyDescent="0.25">
      <c r="A168">
        <v>2005</v>
      </c>
      <c r="B168" t="s">
        <v>38</v>
      </c>
      <c r="C168">
        <v>30.4</v>
      </c>
      <c r="D168">
        <v>286.60719349181699</v>
      </c>
      <c r="E168">
        <v>388.64439420401999</v>
      </c>
      <c r="F168">
        <v>15810205.490196001</v>
      </c>
      <c r="G168">
        <v>14.214274</v>
      </c>
      <c r="H168">
        <v>14.18</v>
      </c>
    </row>
    <row r="169" spans="1:8" x14ac:dyDescent="0.25">
      <c r="A169">
        <v>2005</v>
      </c>
      <c r="B169" t="s">
        <v>39</v>
      </c>
      <c r="C169">
        <v>30.4</v>
      </c>
      <c r="D169">
        <v>286.60719349181699</v>
      </c>
      <c r="E169">
        <v>388.64439420401999</v>
      </c>
      <c r="F169">
        <v>15810205.490196001</v>
      </c>
      <c r="G169">
        <v>15.003769999999999</v>
      </c>
      <c r="H169">
        <v>15.01</v>
      </c>
    </row>
    <row r="170" spans="1:8" x14ac:dyDescent="0.25">
      <c r="A170">
        <v>2005</v>
      </c>
      <c r="B170" t="s">
        <v>40</v>
      </c>
      <c r="C170">
        <v>31.6</v>
      </c>
      <c r="D170">
        <v>286.60719349181699</v>
      </c>
      <c r="E170">
        <v>388.64439420401999</v>
      </c>
      <c r="F170">
        <v>15810205.490196001</v>
      </c>
      <c r="G170">
        <v>15.490266</v>
      </c>
      <c r="H170">
        <v>14.61</v>
      </c>
    </row>
    <row r="171" spans="1:8" x14ac:dyDescent="0.25">
      <c r="A171">
        <v>2005</v>
      </c>
      <c r="B171" t="s">
        <v>41</v>
      </c>
      <c r="C171">
        <v>32.700000000000003</v>
      </c>
      <c r="D171">
        <v>286.60719349181699</v>
      </c>
      <c r="E171">
        <v>388.64439420401999</v>
      </c>
      <c r="F171">
        <v>15810205.490196001</v>
      </c>
      <c r="G171">
        <v>15.814289</v>
      </c>
      <c r="H171">
        <v>15.69</v>
      </c>
    </row>
    <row r="172" spans="1:8" x14ac:dyDescent="0.25">
      <c r="A172">
        <v>2005</v>
      </c>
      <c r="B172" t="s">
        <v>42</v>
      </c>
      <c r="C172">
        <v>26.7</v>
      </c>
      <c r="D172">
        <v>286.60719349181699</v>
      </c>
      <c r="E172">
        <v>388.64439420401999</v>
      </c>
      <c r="F172">
        <v>15810205.490196001</v>
      </c>
      <c r="G172">
        <v>7.9826370000000004</v>
      </c>
      <c r="H172">
        <v>7.9</v>
      </c>
    </row>
    <row r="173" spans="1:8" x14ac:dyDescent="0.25">
      <c r="A173">
        <v>2006</v>
      </c>
      <c r="B173" t="s">
        <v>27</v>
      </c>
      <c r="C173">
        <v>36.1</v>
      </c>
      <c r="D173">
        <v>287.35079577078199</v>
      </c>
      <c r="E173">
        <v>399.16136549832299</v>
      </c>
      <c r="F173">
        <v>16344512.006535901</v>
      </c>
      <c r="G173">
        <v>13.1264305</v>
      </c>
      <c r="H173">
        <v>13.03</v>
      </c>
    </row>
    <row r="174" spans="1:8" x14ac:dyDescent="0.25">
      <c r="A174">
        <v>2006</v>
      </c>
      <c r="B174" t="s">
        <v>43</v>
      </c>
      <c r="C174">
        <v>37.1</v>
      </c>
      <c r="D174">
        <v>287.35079577078199</v>
      </c>
      <c r="E174">
        <v>399.16136549832299</v>
      </c>
      <c r="F174">
        <v>16344512.006535901</v>
      </c>
      <c r="G174">
        <v>17.069132</v>
      </c>
      <c r="H174">
        <v>17.14</v>
      </c>
    </row>
    <row r="175" spans="1:8" x14ac:dyDescent="0.25">
      <c r="A175">
        <v>2006</v>
      </c>
      <c r="B175" t="s">
        <v>14</v>
      </c>
      <c r="C175">
        <v>35.6</v>
      </c>
      <c r="D175">
        <v>287.35079577078199</v>
      </c>
      <c r="E175">
        <v>399.16136549832299</v>
      </c>
      <c r="F175">
        <v>16344512.006535901</v>
      </c>
      <c r="G175">
        <v>10.92488</v>
      </c>
      <c r="H175">
        <v>11.8</v>
      </c>
    </row>
    <row r="176" spans="1:8" x14ac:dyDescent="0.25">
      <c r="A176">
        <v>2006</v>
      </c>
      <c r="B176" t="s">
        <v>25</v>
      </c>
      <c r="C176">
        <v>34.1</v>
      </c>
      <c r="D176">
        <v>287.35079577078199</v>
      </c>
      <c r="E176">
        <v>399.16136549832299</v>
      </c>
      <c r="F176">
        <v>16344512.006535901</v>
      </c>
      <c r="G176">
        <v>4.2278950000000002</v>
      </c>
      <c r="H176">
        <v>4.25</v>
      </c>
    </row>
    <row r="177" spans="1:8" x14ac:dyDescent="0.25">
      <c r="A177">
        <v>2006</v>
      </c>
      <c r="B177" t="s">
        <v>28</v>
      </c>
      <c r="C177">
        <v>29.7</v>
      </c>
      <c r="D177">
        <v>287.35079577078199</v>
      </c>
      <c r="E177">
        <v>399.16136549832299</v>
      </c>
      <c r="F177">
        <v>16344512.006535901</v>
      </c>
      <c r="G177">
        <v>5.1486086999999996</v>
      </c>
      <c r="H177">
        <v>2.36</v>
      </c>
    </row>
    <row r="178" spans="1:8" x14ac:dyDescent="0.25">
      <c r="A178">
        <v>2006</v>
      </c>
      <c r="B178" t="s">
        <v>29</v>
      </c>
      <c r="C178">
        <v>37.1</v>
      </c>
      <c r="D178">
        <v>287.35079577078199</v>
      </c>
      <c r="E178">
        <v>399.16136549832299</v>
      </c>
      <c r="F178">
        <v>16344512.006535901</v>
      </c>
      <c r="G178">
        <v>6.5647773999999997</v>
      </c>
      <c r="H178">
        <v>6.55</v>
      </c>
    </row>
    <row r="179" spans="1:8" x14ac:dyDescent="0.25">
      <c r="A179">
        <v>2006</v>
      </c>
      <c r="B179" t="s">
        <v>30</v>
      </c>
      <c r="C179">
        <v>37.700000000000003</v>
      </c>
      <c r="D179">
        <v>287.35079577078199</v>
      </c>
      <c r="E179">
        <v>399.16136549832299</v>
      </c>
      <c r="F179">
        <v>16344512.006535901</v>
      </c>
      <c r="G179">
        <v>10.10896</v>
      </c>
      <c r="H179">
        <v>9.98</v>
      </c>
    </row>
    <row r="180" spans="1:8" x14ac:dyDescent="0.25">
      <c r="A180">
        <v>2006</v>
      </c>
      <c r="B180" t="s">
        <v>31</v>
      </c>
      <c r="C180">
        <v>38</v>
      </c>
      <c r="D180">
        <v>287.35079577078199</v>
      </c>
      <c r="E180">
        <v>399.16136549832299</v>
      </c>
      <c r="F180">
        <v>16344512.006535901</v>
      </c>
      <c r="G180">
        <v>11.103032000000001</v>
      </c>
      <c r="H180">
        <v>11.23</v>
      </c>
    </row>
    <row r="181" spans="1:8" x14ac:dyDescent="0.25">
      <c r="A181">
        <v>2006</v>
      </c>
      <c r="B181" t="s">
        <v>32</v>
      </c>
      <c r="C181">
        <v>37.799999999999997</v>
      </c>
      <c r="D181">
        <v>287.35079577078199</v>
      </c>
      <c r="E181">
        <v>399.16136549832299</v>
      </c>
      <c r="F181">
        <v>16344512.006535901</v>
      </c>
      <c r="G181">
        <v>10.95595</v>
      </c>
      <c r="H181">
        <v>10.92</v>
      </c>
    </row>
    <row r="182" spans="1:8" x14ac:dyDescent="0.25">
      <c r="A182">
        <v>2006</v>
      </c>
      <c r="B182" t="s">
        <v>33</v>
      </c>
      <c r="C182">
        <v>35.5</v>
      </c>
      <c r="D182">
        <v>287.35079577078199</v>
      </c>
      <c r="E182">
        <v>399.16136549832299</v>
      </c>
      <c r="F182">
        <v>16344512.006535901</v>
      </c>
      <c r="G182">
        <v>4.0048585000000001</v>
      </c>
      <c r="H182">
        <v>3.9</v>
      </c>
    </row>
    <row r="183" spans="1:8" x14ac:dyDescent="0.25">
      <c r="A183">
        <v>2006</v>
      </c>
      <c r="B183" t="s">
        <v>34</v>
      </c>
      <c r="C183">
        <v>39</v>
      </c>
      <c r="D183">
        <v>287.35079577078199</v>
      </c>
      <c r="E183">
        <v>399.16136549832299</v>
      </c>
      <c r="F183">
        <v>16344512.006535901</v>
      </c>
      <c r="G183">
        <v>3.1105597</v>
      </c>
      <c r="H183">
        <v>3.1</v>
      </c>
    </row>
    <row r="184" spans="1:8" x14ac:dyDescent="0.25">
      <c r="A184">
        <v>2006</v>
      </c>
      <c r="B184" t="s">
        <v>44</v>
      </c>
      <c r="C184">
        <v>39.799999999999997</v>
      </c>
      <c r="D184">
        <v>287.35079577078199</v>
      </c>
      <c r="E184">
        <v>399.16136549832299</v>
      </c>
      <c r="F184">
        <v>16344512.006535901</v>
      </c>
      <c r="G184">
        <v>9.0067140000000006</v>
      </c>
      <c r="H184">
        <v>7.33</v>
      </c>
    </row>
    <row r="185" spans="1:8" x14ac:dyDescent="0.25">
      <c r="A185">
        <v>2006</v>
      </c>
      <c r="B185" t="s">
        <v>36</v>
      </c>
      <c r="C185">
        <v>35.1</v>
      </c>
      <c r="D185">
        <v>287.35079577078199</v>
      </c>
      <c r="E185">
        <v>399.16136549832299</v>
      </c>
      <c r="F185">
        <v>16344512.006535901</v>
      </c>
      <c r="G185">
        <v>7.7784414000000002</v>
      </c>
      <c r="H185">
        <v>7.69</v>
      </c>
    </row>
    <row r="186" spans="1:8" x14ac:dyDescent="0.25">
      <c r="A186">
        <v>2006</v>
      </c>
      <c r="B186" t="s">
        <v>37</v>
      </c>
      <c r="C186">
        <v>38.5</v>
      </c>
      <c r="D186">
        <v>287.35079577078199</v>
      </c>
      <c r="E186">
        <v>399.16136549832299</v>
      </c>
      <c r="F186">
        <v>16344512.006535901</v>
      </c>
      <c r="G186">
        <v>7.695964</v>
      </c>
      <c r="H186">
        <v>7.6</v>
      </c>
    </row>
    <row r="187" spans="1:8" x14ac:dyDescent="0.25">
      <c r="A187">
        <v>2006</v>
      </c>
      <c r="B187" t="s">
        <v>38</v>
      </c>
      <c r="C187">
        <v>31.9</v>
      </c>
      <c r="D187">
        <v>287.35079577078199</v>
      </c>
      <c r="E187">
        <v>399.16136549832299</v>
      </c>
      <c r="F187">
        <v>16344512.006535901</v>
      </c>
      <c r="G187">
        <v>8.2444959999999998</v>
      </c>
      <c r="H187">
        <v>8.23</v>
      </c>
    </row>
    <row r="188" spans="1:8" x14ac:dyDescent="0.25">
      <c r="A188">
        <v>2006</v>
      </c>
      <c r="B188" t="s">
        <v>39</v>
      </c>
      <c r="C188">
        <v>35.6</v>
      </c>
      <c r="D188">
        <v>287.35079577078199</v>
      </c>
      <c r="E188">
        <v>399.16136549832299</v>
      </c>
      <c r="F188">
        <v>16344512.006535901</v>
      </c>
      <c r="G188">
        <v>9.5140860000000007</v>
      </c>
      <c r="H188">
        <v>9.74</v>
      </c>
    </row>
    <row r="189" spans="1:8" x14ac:dyDescent="0.25">
      <c r="A189">
        <v>2006</v>
      </c>
      <c r="B189" t="s">
        <v>40</v>
      </c>
      <c r="C189">
        <v>35.5</v>
      </c>
      <c r="D189">
        <v>287.35079577078199</v>
      </c>
      <c r="E189">
        <v>399.16136549832299</v>
      </c>
      <c r="F189">
        <v>16344512.006535901</v>
      </c>
      <c r="G189">
        <v>9.0933694999999997</v>
      </c>
      <c r="H189">
        <v>9.27</v>
      </c>
    </row>
    <row r="190" spans="1:8" x14ac:dyDescent="0.25">
      <c r="A190">
        <v>2006</v>
      </c>
      <c r="B190" t="s">
        <v>41</v>
      </c>
      <c r="C190">
        <v>36.200000000000003</v>
      </c>
      <c r="D190">
        <v>287.35079577078199</v>
      </c>
      <c r="E190">
        <v>399.16136549832299</v>
      </c>
      <c r="F190">
        <v>16344512.006535901</v>
      </c>
      <c r="G190">
        <v>10.627224999999999</v>
      </c>
      <c r="H190">
        <v>10.52</v>
      </c>
    </row>
    <row r="191" spans="1:8" x14ac:dyDescent="0.25">
      <c r="A191">
        <v>2006</v>
      </c>
      <c r="B191" t="s">
        <v>42</v>
      </c>
      <c r="C191">
        <v>33.799999999999997</v>
      </c>
      <c r="D191">
        <v>287.35079577078199</v>
      </c>
      <c r="E191">
        <v>399.16136549832299</v>
      </c>
      <c r="F191">
        <v>16344512.006535901</v>
      </c>
      <c r="G191">
        <v>7.6562643000000001</v>
      </c>
      <c r="H191">
        <v>7.75</v>
      </c>
    </row>
    <row r="192" spans="1:8" x14ac:dyDescent="0.25">
      <c r="A192">
        <v>2008</v>
      </c>
      <c r="B192" t="s">
        <v>27</v>
      </c>
      <c r="C192">
        <v>28.5</v>
      </c>
      <c r="D192">
        <v>286.61300918479299</v>
      </c>
      <c r="E192">
        <v>2371185242.5</v>
      </c>
      <c r="F192">
        <v>15497942.7614379</v>
      </c>
      <c r="G192">
        <v>13.686932000000001</v>
      </c>
      <c r="H192">
        <v>13.6</v>
      </c>
    </row>
    <row r="193" spans="1:8" x14ac:dyDescent="0.25">
      <c r="A193">
        <v>2008</v>
      </c>
      <c r="B193" t="s">
        <v>43</v>
      </c>
      <c r="C193">
        <v>29.1</v>
      </c>
      <c r="D193">
        <v>286.61300918479299</v>
      </c>
      <c r="E193">
        <v>2371185242.5</v>
      </c>
      <c r="F193">
        <v>15497942.7614379</v>
      </c>
      <c r="G193">
        <v>16.484386000000001</v>
      </c>
      <c r="H193">
        <v>16.559999999999999</v>
      </c>
    </row>
    <row r="194" spans="1:8" x14ac:dyDescent="0.25">
      <c r="A194">
        <v>2008</v>
      </c>
      <c r="B194" t="s">
        <v>14</v>
      </c>
      <c r="C194">
        <v>28</v>
      </c>
      <c r="D194">
        <v>286.61300918479299</v>
      </c>
      <c r="E194">
        <v>2371185242.5</v>
      </c>
      <c r="F194">
        <v>15497942.7614379</v>
      </c>
      <c r="G194">
        <v>9.9697779999999998</v>
      </c>
      <c r="H194">
        <v>11.71</v>
      </c>
    </row>
    <row r="195" spans="1:8" x14ac:dyDescent="0.25">
      <c r="A195">
        <v>2008</v>
      </c>
      <c r="B195" t="s">
        <v>25</v>
      </c>
      <c r="C195">
        <v>22.6</v>
      </c>
      <c r="D195">
        <v>286.61300918479299</v>
      </c>
      <c r="E195">
        <v>2371185242.5</v>
      </c>
      <c r="F195">
        <v>15497942.7614379</v>
      </c>
      <c r="G195">
        <v>2.9846531999999999</v>
      </c>
      <c r="H195">
        <v>3.03</v>
      </c>
    </row>
    <row r="196" spans="1:8" x14ac:dyDescent="0.25">
      <c r="A196">
        <v>2008</v>
      </c>
      <c r="B196" t="s">
        <v>28</v>
      </c>
      <c r="C196">
        <v>24.7</v>
      </c>
      <c r="D196">
        <v>286.61300918479299</v>
      </c>
      <c r="E196">
        <v>2371185242.5</v>
      </c>
      <c r="F196">
        <v>15497942.7614379</v>
      </c>
      <c r="G196">
        <v>5.2621399999999996</v>
      </c>
      <c r="H196">
        <v>3.98</v>
      </c>
    </row>
    <row r="197" spans="1:8" x14ac:dyDescent="0.25">
      <c r="A197">
        <v>2008</v>
      </c>
      <c r="B197" t="s">
        <v>29</v>
      </c>
      <c r="C197">
        <v>24.6</v>
      </c>
      <c r="D197">
        <v>286.61300918479299</v>
      </c>
      <c r="E197">
        <v>2371185242.5</v>
      </c>
      <c r="F197">
        <v>15497942.7614379</v>
      </c>
      <c r="G197">
        <v>6.0331010000000003</v>
      </c>
      <c r="H197">
        <v>6.1</v>
      </c>
    </row>
    <row r="198" spans="1:8" x14ac:dyDescent="0.25">
      <c r="A198">
        <v>2008</v>
      </c>
      <c r="B198" t="s">
        <v>30</v>
      </c>
      <c r="C198">
        <v>27.6</v>
      </c>
      <c r="D198">
        <v>286.61300918479299</v>
      </c>
      <c r="E198">
        <v>2371185242.5</v>
      </c>
      <c r="F198">
        <v>15497942.7614379</v>
      </c>
      <c r="G198">
        <v>8.9740280000000006</v>
      </c>
      <c r="H198">
        <v>8.93</v>
      </c>
    </row>
    <row r="199" spans="1:8" x14ac:dyDescent="0.25">
      <c r="A199">
        <v>2008</v>
      </c>
      <c r="B199" t="s">
        <v>31</v>
      </c>
      <c r="C199">
        <v>24.4</v>
      </c>
      <c r="D199">
        <v>286.61300918479299</v>
      </c>
      <c r="E199">
        <v>2371185242.5</v>
      </c>
      <c r="F199">
        <v>15497942.7614379</v>
      </c>
      <c r="G199">
        <v>9.4079049999999995</v>
      </c>
      <c r="H199">
        <v>9.2799999999999994</v>
      </c>
    </row>
    <row r="200" spans="1:8" x14ac:dyDescent="0.25">
      <c r="A200">
        <v>2008</v>
      </c>
      <c r="B200" t="s">
        <v>32</v>
      </c>
      <c r="C200">
        <v>23.9</v>
      </c>
      <c r="D200">
        <v>286.61300918479299</v>
      </c>
      <c r="E200">
        <v>2371185242.5</v>
      </c>
      <c r="F200">
        <v>15497942.7614379</v>
      </c>
      <c r="G200">
        <v>9.899915</v>
      </c>
      <c r="H200">
        <v>9.99</v>
      </c>
    </row>
    <row r="201" spans="1:8" x14ac:dyDescent="0.25">
      <c r="A201">
        <v>2008</v>
      </c>
      <c r="B201" t="s">
        <v>33</v>
      </c>
      <c r="C201">
        <v>19.8</v>
      </c>
      <c r="D201">
        <v>286.61300918479299</v>
      </c>
      <c r="E201">
        <v>2371185242.5</v>
      </c>
      <c r="F201">
        <v>15497942.7614379</v>
      </c>
      <c r="G201">
        <v>0.55803119999999995</v>
      </c>
      <c r="H201">
        <v>2.31</v>
      </c>
    </row>
    <row r="202" spans="1:8" x14ac:dyDescent="0.25">
      <c r="A202">
        <v>2008</v>
      </c>
      <c r="B202" t="s">
        <v>34</v>
      </c>
      <c r="C202">
        <v>23.4</v>
      </c>
      <c r="D202">
        <v>286.61300918479299</v>
      </c>
      <c r="E202">
        <v>2371185242.5</v>
      </c>
      <c r="F202">
        <v>15497942.7614379</v>
      </c>
      <c r="G202">
        <v>5.6431870000000002</v>
      </c>
      <c r="H202">
        <v>5.64</v>
      </c>
    </row>
    <row r="203" spans="1:8" x14ac:dyDescent="0.25">
      <c r="A203">
        <v>2008</v>
      </c>
      <c r="B203" t="s">
        <v>44</v>
      </c>
      <c r="C203">
        <v>26.9</v>
      </c>
      <c r="D203">
        <v>286.61300918479299</v>
      </c>
      <c r="E203">
        <v>2371185242.5</v>
      </c>
      <c r="F203">
        <v>15497942.7614379</v>
      </c>
      <c r="G203">
        <v>10.070865</v>
      </c>
      <c r="H203">
        <v>10.07</v>
      </c>
    </row>
    <row r="204" spans="1:8" x14ac:dyDescent="0.25">
      <c r="A204">
        <v>2008</v>
      </c>
      <c r="B204" t="s">
        <v>36</v>
      </c>
      <c r="C204">
        <v>24.2</v>
      </c>
      <c r="D204">
        <v>286.61300918479299</v>
      </c>
      <c r="E204">
        <v>2371185242.5</v>
      </c>
      <c r="F204">
        <v>15497942.7614379</v>
      </c>
      <c r="G204">
        <v>8.9790700000000001</v>
      </c>
      <c r="H204">
        <v>8.8699999999999992</v>
      </c>
    </row>
    <row r="205" spans="1:8" x14ac:dyDescent="0.25">
      <c r="A205">
        <v>2008</v>
      </c>
      <c r="B205" t="s">
        <v>37</v>
      </c>
      <c r="C205">
        <v>25.7</v>
      </c>
      <c r="D205">
        <v>286.61300918479299</v>
      </c>
      <c r="E205">
        <v>2371185242.5</v>
      </c>
      <c r="F205">
        <v>15497942.7614379</v>
      </c>
      <c r="G205">
        <v>9.7189870000000003</v>
      </c>
      <c r="H205">
        <v>9.66</v>
      </c>
    </row>
    <row r="206" spans="1:8" x14ac:dyDescent="0.25">
      <c r="A206">
        <v>2008</v>
      </c>
      <c r="B206" t="s">
        <v>38</v>
      </c>
      <c r="C206">
        <v>24.5</v>
      </c>
      <c r="D206">
        <v>286.61300918479299</v>
      </c>
      <c r="E206">
        <v>2371185242.5</v>
      </c>
      <c r="F206">
        <v>15497942.7614379</v>
      </c>
      <c r="G206">
        <v>9.8321020000000008</v>
      </c>
      <c r="H206">
        <v>9.84</v>
      </c>
    </row>
    <row r="207" spans="1:8" x14ac:dyDescent="0.25">
      <c r="A207">
        <v>2008</v>
      </c>
      <c r="B207" t="s">
        <v>39</v>
      </c>
      <c r="C207">
        <v>24.5</v>
      </c>
      <c r="D207">
        <v>286.61300918479299</v>
      </c>
      <c r="E207">
        <v>2371185242.5</v>
      </c>
      <c r="F207">
        <v>15497942.7614379</v>
      </c>
      <c r="G207">
        <v>9.5794750000000004</v>
      </c>
      <c r="H207">
        <v>9.57</v>
      </c>
    </row>
    <row r="208" spans="1:8" x14ac:dyDescent="0.25">
      <c r="A208">
        <v>2008</v>
      </c>
      <c r="B208" t="s">
        <v>40</v>
      </c>
      <c r="C208">
        <v>23.9</v>
      </c>
      <c r="D208">
        <v>286.61300918479299</v>
      </c>
      <c r="E208">
        <v>2371185242.5</v>
      </c>
      <c r="F208">
        <v>15497942.7614379</v>
      </c>
      <c r="G208">
        <v>9.1856910000000003</v>
      </c>
      <c r="H208">
        <v>9.0500000000000007</v>
      </c>
    </row>
    <row r="209" spans="1:8" x14ac:dyDescent="0.25">
      <c r="A209">
        <v>2008</v>
      </c>
      <c r="B209" t="s">
        <v>41</v>
      </c>
      <c r="C209">
        <v>24.2</v>
      </c>
      <c r="D209">
        <v>286.61300918479299</v>
      </c>
      <c r="E209">
        <v>2371185242.5</v>
      </c>
      <c r="F209">
        <v>15497942.7614379</v>
      </c>
      <c r="G209">
        <v>9.5525559999999992</v>
      </c>
      <c r="H209">
        <v>9.5</v>
      </c>
    </row>
    <row r="210" spans="1:8" x14ac:dyDescent="0.25">
      <c r="A210">
        <v>2008</v>
      </c>
      <c r="B210" t="s">
        <v>42</v>
      </c>
      <c r="C210">
        <v>23</v>
      </c>
      <c r="D210">
        <v>286.61300918479299</v>
      </c>
      <c r="E210">
        <v>2371185242.5</v>
      </c>
      <c r="F210">
        <v>15497942.7614379</v>
      </c>
      <c r="G210">
        <v>5.8684086999999998</v>
      </c>
      <c r="H210">
        <v>5.86</v>
      </c>
    </row>
    <row r="211" spans="1:8" x14ac:dyDescent="0.25">
      <c r="A211">
        <v>2009</v>
      </c>
      <c r="B211" t="s">
        <v>27</v>
      </c>
      <c r="C211">
        <v>22.4</v>
      </c>
      <c r="D211">
        <v>286.65361451791</v>
      </c>
      <c r="E211">
        <v>447.14112894050697</v>
      </c>
      <c r="F211">
        <v>15957279.0294117</v>
      </c>
      <c r="G211">
        <v>11.791694</v>
      </c>
      <c r="H211">
        <v>11.81</v>
      </c>
    </row>
    <row r="212" spans="1:8" x14ac:dyDescent="0.25">
      <c r="A212">
        <v>2009</v>
      </c>
      <c r="B212" t="s">
        <v>43</v>
      </c>
      <c r="C212">
        <v>23</v>
      </c>
      <c r="D212">
        <v>286.65361451791</v>
      </c>
      <c r="E212">
        <v>447.14112894050697</v>
      </c>
      <c r="F212">
        <v>15957279.0294117</v>
      </c>
      <c r="G212">
        <v>13.792147999999999</v>
      </c>
      <c r="H212">
        <v>13.84</v>
      </c>
    </row>
    <row r="213" spans="1:8" x14ac:dyDescent="0.25">
      <c r="A213">
        <v>2009</v>
      </c>
      <c r="B213" t="s">
        <v>14</v>
      </c>
      <c r="C213">
        <v>22.3</v>
      </c>
      <c r="D213">
        <v>286.65361451791</v>
      </c>
      <c r="E213">
        <v>447.14112894050697</v>
      </c>
      <c r="F213">
        <v>15957279.0294117</v>
      </c>
      <c r="G213">
        <v>10.566127</v>
      </c>
      <c r="H213">
        <v>12.37</v>
      </c>
    </row>
    <row r="214" spans="1:8" x14ac:dyDescent="0.25">
      <c r="A214">
        <v>2009</v>
      </c>
      <c r="B214" t="s">
        <v>25</v>
      </c>
      <c r="C214">
        <v>19.8</v>
      </c>
      <c r="D214">
        <v>286.65361451791</v>
      </c>
      <c r="E214">
        <v>447.14112894050697</v>
      </c>
      <c r="F214">
        <v>15957279.0294117</v>
      </c>
      <c r="G214">
        <v>0.75480544999999999</v>
      </c>
      <c r="H214">
        <v>0.57999999999999996</v>
      </c>
    </row>
    <row r="215" spans="1:8" x14ac:dyDescent="0.25">
      <c r="A215">
        <v>2009</v>
      </c>
      <c r="B215" t="s">
        <v>28</v>
      </c>
      <c r="C215">
        <v>21.9</v>
      </c>
      <c r="D215">
        <v>286.65361451791</v>
      </c>
      <c r="E215">
        <v>447.14112894050697</v>
      </c>
      <c r="F215">
        <v>15957279.0294117</v>
      </c>
      <c r="G215">
        <v>5.162795</v>
      </c>
      <c r="H215">
        <v>5.2</v>
      </c>
    </row>
    <row r="216" spans="1:8" x14ac:dyDescent="0.25">
      <c r="A216">
        <v>2009</v>
      </c>
      <c r="B216" t="s">
        <v>29</v>
      </c>
      <c r="C216">
        <v>22.1</v>
      </c>
      <c r="D216">
        <v>286.65361451791</v>
      </c>
      <c r="E216">
        <v>447.14112894050697</v>
      </c>
      <c r="F216">
        <v>15957279.0294117</v>
      </c>
      <c r="G216">
        <v>7.0639250000000002</v>
      </c>
      <c r="H216">
        <v>7.12</v>
      </c>
    </row>
    <row r="217" spans="1:8" x14ac:dyDescent="0.25">
      <c r="A217">
        <v>2009</v>
      </c>
      <c r="B217" t="s">
        <v>30</v>
      </c>
      <c r="C217">
        <v>21.1</v>
      </c>
      <c r="D217">
        <v>286.65361451791</v>
      </c>
      <c r="E217">
        <v>447.14112894050697</v>
      </c>
      <c r="F217">
        <v>15957279.0294117</v>
      </c>
      <c r="G217">
        <v>8.4640620000000002</v>
      </c>
      <c r="H217">
        <v>8.51</v>
      </c>
    </row>
    <row r="218" spans="1:8" x14ac:dyDescent="0.25">
      <c r="A218">
        <v>2009</v>
      </c>
      <c r="B218" t="s">
        <v>31</v>
      </c>
      <c r="C218">
        <v>21.2</v>
      </c>
      <c r="D218">
        <v>286.65361451791</v>
      </c>
      <c r="E218">
        <v>447.14112894050697</v>
      </c>
      <c r="F218">
        <v>15957279.0294117</v>
      </c>
      <c r="G218">
        <v>8.3046699999999998</v>
      </c>
      <c r="H218">
        <v>8.25</v>
      </c>
    </row>
    <row r="219" spans="1:8" x14ac:dyDescent="0.25">
      <c r="A219">
        <v>2009</v>
      </c>
      <c r="B219" t="s">
        <v>32</v>
      </c>
      <c r="C219">
        <v>21.1</v>
      </c>
      <c r="D219">
        <v>286.65361451791</v>
      </c>
      <c r="E219">
        <v>447.14112894050697</v>
      </c>
      <c r="F219">
        <v>15957279.0294117</v>
      </c>
      <c r="G219">
        <v>8.3774440000000006</v>
      </c>
      <c r="H219">
        <v>8.34</v>
      </c>
    </row>
    <row r="220" spans="1:8" x14ac:dyDescent="0.25">
      <c r="A220">
        <v>2009</v>
      </c>
      <c r="B220" t="s">
        <v>33</v>
      </c>
      <c r="C220">
        <v>17.3</v>
      </c>
      <c r="D220">
        <v>286.65361451791</v>
      </c>
      <c r="E220">
        <v>447.14112894050697</v>
      </c>
      <c r="F220">
        <v>15957279.0294117</v>
      </c>
      <c r="G220">
        <v>1.3588133</v>
      </c>
      <c r="H220">
        <v>0.94</v>
      </c>
    </row>
    <row r="221" spans="1:8" x14ac:dyDescent="0.25">
      <c r="A221">
        <v>2009</v>
      </c>
      <c r="B221" t="s">
        <v>34</v>
      </c>
      <c r="C221">
        <v>19.7</v>
      </c>
      <c r="D221">
        <v>286.65361451791</v>
      </c>
      <c r="E221">
        <v>447.14112894050697</v>
      </c>
      <c r="F221">
        <v>15957279.0294117</v>
      </c>
      <c r="G221">
        <v>5.1344099999999999</v>
      </c>
      <c r="H221">
        <v>5.19</v>
      </c>
    </row>
    <row r="222" spans="1:8" x14ac:dyDescent="0.25">
      <c r="A222">
        <v>2009</v>
      </c>
      <c r="B222" t="s">
        <v>44</v>
      </c>
      <c r="C222">
        <v>20.9</v>
      </c>
      <c r="D222">
        <v>286.65361451791</v>
      </c>
      <c r="E222">
        <v>447.14112894050697</v>
      </c>
      <c r="F222">
        <v>15957279.0294117</v>
      </c>
      <c r="G222">
        <v>8.5557219999999994</v>
      </c>
      <c r="H222">
        <v>8.56</v>
      </c>
    </row>
    <row r="223" spans="1:8" x14ac:dyDescent="0.25">
      <c r="A223">
        <v>2009</v>
      </c>
      <c r="B223" t="s">
        <v>36</v>
      </c>
      <c r="C223">
        <v>21.2</v>
      </c>
      <c r="D223">
        <v>286.65361451791</v>
      </c>
      <c r="E223">
        <v>447.14112894050697</v>
      </c>
      <c r="F223">
        <v>15957279.0294117</v>
      </c>
      <c r="G223">
        <v>8.8466834999999993</v>
      </c>
      <c r="H223">
        <v>8.89</v>
      </c>
    </row>
    <row r="224" spans="1:8" x14ac:dyDescent="0.25">
      <c r="A224">
        <v>2009</v>
      </c>
      <c r="B224" t="s">
        <v>37</v>
      </c>
      <c r="C224">
        <v>22</v>
      </c>
      <c r="D224">
        <v>286.65361451791</v>
      </c>
      <c r="E224">
        <v>447.14112894050697</v>
      </c>
      <c r="F224">
        <v>15957279.0294117</v>
      </c>
      <c r="G224">
        <v>9.0420110000000005</v>
      </c>
      <c r="H224">
        <v>8.76</v>
      </c>
    </row>
    <row r="225" spans="1:8" x14ac:dyDescent="0.25">
      <c r="A225">
        <v>2009</v>
      </c>
      <c r="B225" t="s">
        <v>38</v>
      </c>
      <c r="C225">
        <v>20.399999999999999</v>
      </c>
      <c r="D225">
        <v>286.65361451791</v>
      </c>
      <c r="E225">
        <v>447.14112894050697</v>
      </c>
      <c r="F225">
        <v>15957279.0294117</v>
      </c>
      <c r="G225">
        <v>7.9593214999999997</v>
      </c>
      <c r="H225">
        <v>7.82</v>
      </c>
    </row>
    <row r="226" spans="1:8" x14ac:dyDescent="0.25">
      <c r="A226">
        <v>2009</v>
      </c>
      <c r="B226" t="s">
        <v>39</v>
      </c>
      <c r="C226">
        <v>19.100000000000001</v>
      </c>
      <c r="D226">
        <v>286.65361451791</v>
      </c>
      <c r="E226">
        <v>447.14112894050697</v>
      </c>
      <c r="F226">
        <v>15957279.0294117</v>
      </c>
      <c r="G226">
        <v>6.4872923</v>
      </c>
      <c r="H226">
        <v>7.4</v>
      </c>
    </row>
    <row r="227" spans="1:8" x14ac:dyDescent="0.25">
      <c r="A227">
        <v>2009</v>
      </c>
      <c r="B227" t="s">
        <v>40</v>
      </c>
      <c r="C227">
        <v>21.2</v>
      </c>
      <c r="D227">
        <v>286.65361451791</v>
      </c>
      <c r="E227">
        <v>447.14112894050697</v>
      </c>
      <c r="F227">
        <v>15957279.0294117</v>
      </c>
      <c r="G227">
        <v>8.1645059999999994</v>
      </c>
      <c r="H227">
        <v>8.18</v>
      </c>
    </row>
    <row r="228" spans="1:8" x14ac:dyDescent="0.25">
      <c r="A228">
        <v>2009</v>
      </c>
      <c r="B228" t="s">
        <v>41</v>
      </c>
      <c r="C228">
        <v>20.399999999999999</v>
      </c>
      <c r="D228">
        <v>286.65361451791</v>
      </c>
      <c r="E228">
        <v>447.14112894050697</v>
      </c>
      <c r="F228">
        <v>15957279.0294117</v>
      </c>
      <c r="G228">
        <v>8.3596409999999999</v>
      </c>
      <c r="H228">
        <v>8.4499999999999993</v>
      </c>
    </row>
    <row r="229" spans="1:8" x14ac:dyDescent="0.25">
      <c r="A229">
        <v>2009</v>
      </c>
      <c r="B229" t="s">
        <v>42</v>
      </c>
      <c r="C229">
        <v>19.5</v>
      </c>
      <c r="D229">
        <v>286.65361451791</v>
      </c>
      <c r="E229">
        <v>447.14112894050697</v>
      </c>
      <c r="F229">
        <v>15957279.0294117</v>
      </c>
      <c r="G229">
        <v>3.4583235000000001</v>
      </c>
      <c r="H229">
        <v>3.49</v>
      </c>
    </row>
    <row r="230" spans="1:8" x14ac:dyDescent="0.25">
      <c r="A230">
        <v>2011</v>
      </c>
      <c r="B230" t="s">
        <v>27</v>
      </c>
      <c r="C230">
        <v>19.399999999999999</v>
      </c>
      <c r="D230">
        <v>286.20084136763398</v>
      </c>
      <c r="E230">
        <v>454.27107968181298</v>
      </c>
      <c r="F230">
        <v>15700914.3921568</v>
      </c>
      <c r="G230">
        <v>8.8331900000000001</v>
      </c>
      <c r="H230">
        <v>8.67</v>
      </c>
    </row>
    <row r="231" spans="1:8" x14ac:dyDescent="0.25">
      <c r="A231">
        <v>2011</v>
      </c>
      <c r="B231" t="s">
        <v>43</v>
      </c>
      <c r="C231">
        <v>18.600000000000001</v>
      </c>
      <c r="D231">
        <v>286.20084136763398</v>
      </c>
      <c r="E231">
        <v>454.27107968181298</v>
      </c>
      <c r="F231">
        <v>15700914.3921568</v>
      </c>
      <c r="G231">
        <v>9.2821010000000008</v>
      </c>
      <c r="H231">
        <v>9.26</v>
      </c>
    </row>
    <row r="232" spans="1:8" x14ac:dyDescent="0.25">
      <c r="A232">
        <v>2011</v>
      </c>
      <c r="B232" t="s">
        <v>14</v>
      </c>
      <c r="C232">
        <v>24.9</v>
      </c>
      <c r="D232">
        <v>286.20084136763398</v>
      </c>
      <c r="E232">
        <v>454.27107968181298</v>
      </c>
      <c r="F232">
        <v>15700914.3921568</v>
      </c>
      <c r="G232">
        <v>11.742872999999999</v>
      </c>
      <c r="H232">
        <v>11.95</v>
      </c>
    </row>
    <row r="233" spans="1:8" x14ac:dyDescent="0.25">
      <c r="A233">
        <v>2011</v>
      </c>
      <c r="B233" t="s">
        <v>25</v>
      </c>
      <c r="C233">
        <v>18.600000000000001</v>
      </c>
      <c r="D233">
        <v>286.20084136763398</v>
      </c>
      <c r="E233">
        <v>454.27107968181298</v>
      </c>
      <c r="F233">
        <v>15700914.3921568</v>
      </c>
      <c r="G233">
        <v>1.2613179999999999</v>
      </c>
      <c r="H233">
        <v>1.49</v>
      </c>
    </row>
    <row r="234" spans="1:8" x14ac:dyDescent="0.25">
      <c r="A234">
        <v>2011</v>
      </c>
      <c r="B234" t="s">
        <v>28</v>
      </c>
      <c r="C234">
        <v>18.399999999999999</v>
      </c>
      <c r="D234">
        <v>286.20084136763398</v>
      </c>
      <c r="E234">
        <v>454.27107968181298</v>
      </c>
      <c r="F234">
        <v>15700914.3921568</v>
      </c>
      <c r="G234">
        <v>2.5722797000000002</v>
      </c>
      <c r="H234">
        <v>2.86</v>
      </c>
    </row>
    <row r="235" spans="1:8" x14ac:dyDescent="0.25">
      <c r="A235">
        <v>2011</v>
      </c>
      <c r="B235" t="s">
        <v>29</v>
      </c>
      <c r="C235">
        <v>20.6</v>
      </c>
      <c r="D235">
        <v>286.20084136763398</v>
      </c>
      <c r="E235">
        <v>454.27107968181298</v>
      </c>
      <c r="F235">
        <v>15700914.3921568</v>
      </c>
      <c r="G235">
        <v>5.6222896999999996</v>
      </c>
      <c r="H235">
        <v>5.05</v>
      </c>
    </row>
    <row r="236" spans="1:8" x14ac:dyDescent="0.25">
      <c r="A236">
        <v>2011</v>
      </c>
      <c r="B236" t="s">
        <v>30</v>
      </c>
      <c r="C236">
        <v>20.100000000000001</v>
      </c>
      <c r="D236">
        <v>286.20084136763398</v>
      </c>
      <c r="E236">
        <v>454.27107968181298</v>
      </c>
      <c r="F236">
        <v>15700914.3921568</v>
      </c>
      <c r="G236">
        <v>7.8757289999999998</v>
      </c>
      <c r="H236">
        <v>7.9</v>
      </c>
    </row>
    <row r="237" spans="1:8" x14ac:dyDescent="0.25">
      <c r="A237">
        <v>2011</v>
      </c>
      <c r="B237" t="s">
        <v>31</v>
      </c>
      <c r="C237">
        <v>16.8</v>
      </c>
      <c r="D237">
        <v>286.20084136763398</v>
      </c>
      <c r="E237">
        <v>454.27107968181298</v>
      </c>
      <c r="F237">
        <v>15700914.3921568</v>
      </c>
      <c r="G237">
        <v>5.2791123000000004</v>
      </c>
      <c r="H237">
        <v>5.27</v>
      </c>
    </row>
    <row r="238" spans="1:8" x14ac:dyDescent="0.25">
      <c r="A238">
        <v>2011</v>
      </c>
      <c r="B238" t="s">
        <v>32</v>
      </c>
      <c r="C238">
        <v>17.600000000000001</v>
      </c>
      <c r="D238">
        <v>286.20084136763398</v>
      </c>
      <c r="E238">
        <v>454.27107968181298</v>
      </c>
      <c r="F238">
        <v>15700914.3921568</v>
      </c>
      <c r="G238">
        <v>5.7708225000000004</v>
      </c>
      <c r="H238">
        <v>5.83</v>
      </c>
    </row>
    <row r="239" spans="1:8" x14ac:dyDescent="0.25">
      <c r="A239">
        <v>2011</v>
      </c>
      <c r="B239" t="s">
        <v>33</v>
      </c>
      <c r="C239">
        <v>17.100000000000001</v>
      </c>
      <c r="D239">
        <v>286.20084136763398</v>
      </c>
      <c r="E239">
        <v>454.27107968181298</v>
      </c>
      <c r="F239">
        <v>15700914.3921568</v>
      </c>
      <c r="G239">
        <v>1.0120659000000001</v>
      </c>
      <c r="H239">
        <v>1.0900000000000001</v>
      </c>
    </row>
    <row r="240" spans="1:8" x14ac:dyDescent="0.25">
      <c r="A240">
        <v>2011</v>
      </c>
      <c r="B240" t="s">
        <v>34</v>
      </c>
      <c r="C240">
        <v>17.5</v>
      </c>
      <c r="D240">
        <v>286.20084136763398</v>
      </c>
      <c r="E240">
        <v>454.27107968181298</v>
      </c>
      <c r="F240">
        <v>15700914.3921568</v>
      </c>
      <c r="G240">
        <v>3.8668133999999998</v>
      </c>
      <c r="H240">
        <v>3.88</v>
      </c>
    </row>
    <row r="241" spans="1:8" x14ac:dyDescent="0.25">
      <c r="A241">
        <v>2011</v>
      </c>
      <c r="B241" t="s">
        <v>44</v>
      </c>
      <c r="C241">
        <v>19.100000000000001</v>
      </c>
      <c r="D241">
        <v>286.20084136763398</v>
      </c>
      <c r="E241">
        <v>454.27107968181298</v>
      </c>
      <c r="F241">
        <v>15700914.3921568</v>
      </c>
      <c r="G241">
        <v>7.3155403000000003</v>
      </c>
      <c r="H241">
        <v>7.32</v>
      </c>
    </row>
    <row r="242" spans="1:8" x14ac:dyDescent="0.25">
      <c r="A242">
        <v>2011</v>
      </c>
      <c r="B242" t="s">
        <v>36</v>
      </c>
      <c r="C242">
        <v>19.2</v>
      </c>
      <c r="D242">
        <v>286.20084136763398</v>
      </c>
      <c r="E242">
        <v>454.27107968181298</v>
      </c>
      <c r="F242">
        <v>15700914.3921568</v>
      </c>
      <c r="G242">
        <v>6.5786514</v>
      </c>
      <c r="H242">
        <v>7.2</v>
      </c>
    </row>
    <row r="243" spans="1:8" x14ac:dyDescent="0.25">
      <c r="A243">
        <v>2011</v>
      </c>
      <c r="B243" t="s">
        <v>37</v>
      </c>
      <c r="C243">
        <v>18.2</v>
      </c>
      <c r="D243">
        <v>286.20084136763398</v>
      </c>
      <c r="E243">
        <v>454.27107968181298</v>
      </c>
      <c r="F243">
        <v>15700914.3921568</v>
      </c>
      <c r="G243">
        <v>7.0403985999999996</v>
      </c>
      <c r="H243">
        <v>7.01</v>
      </c>
    </row>
    <row r="244" spans="1:8" x14ac:dyDescent="0.25">
      <c r="A244">
        <v>2011</v>
      </c>
      <c r="B244" t="s">
        <v>38</v>
      </c>
      <c r="C244">
        <v>18.399999999999999</v>
      </c>
      <c r="D244">
        <v>286.20084136763398</v>
      </c>
      <c r="E244">
        <v>454.27107968181298</v>
      </c>
      <c r="F244">
        <v>15700914.3921568</v>
      </c>
      <c r="G244">
        <v>5.6641349999999999</v>
      </c>
      <c r="H244">
        <v>5.63</v>
      </c>
    </row>
    <row r="245" spans="1:8" x14ac:dyDescent="0.25">
      <c r="A245">
        <v>2011</v>
      </c>
      <c r="B245" t="s">
        <v>39</v>
      </c>
      <c r="C245">
        <v>16.8</v>
      </c>
      <c r="D245">
        <v>286.20084136763398</v>
      </c>
      <c r="E245">
        <v>454.27107968181298</v>
      </c>
      <c r="F245">
        <v>15700914.3921568</v>
      </c>
      <c r="G245">
        <v>4.4678234999999997</v>
      </c>
      <c r="H245">
        <v>4.33</v>
      </c>
    </row>
    <row r="246" spans="1:8" x14ac:dyDescent="0.25">
      <c r="A246">
        <v>2011</v>
      </c>
      <c r="B246" t="s">
        <v>40</v>
      </c>
      <c r="C246">
        <v>17.3</v>
      </c>
      <c r="D246">
        <v>286.20084136763398</v>
      </c>
      <c r="E246">
        <v>454.27107968181298</v>
      </c>
      <c r="F246">
        <v>15700914.3921568</v>
      </c>
      <c r="G246">
        <v>5.2978535000000004</v>
      </c>
      <c r="H246">
        <v>5.19</v>
      </c>
    </row>
    <row r="247" spans="1:8" x14ac:dyDescent="0.25">
      <c r="A247">
        <v>2011</v>
      </c>
      <c r="B247" t="s">
        <v>41</v>
      </c>
      <c r="C247">
        <v>18.8</v>
      </c>
      <c r="D247">
        <v>286.20084136763398</v>
      </c>
      <c r="E247">
        <v>454.27107968181298</v>
      </c>
      <c r="F247">
        <v>15700914.3921568</v>
      </c>
      <c r="G247">
        <v>5.9786739999999998</v>
      </c>
      <c r="H247">
        <v>5.88</v>
      </c>
    </row>
    <row r="248" spans="1:8" x14ac:dyDescent="0.25">
      <c r="A248">
        <v>2011</v>
      </c>
      <c r="B248" t="s">
        <v>42</v>
      </c>
      <c r="C248">
        <v>19.7</v>
      </c>
      <c r="D248">
        <v>286.20084136763398</v>
      </c>
      <c r="E248">
        <v>454.27107968181298</v>
      </c>
      <c r="F248">
        <v>15700914.3921568</v>
      </c>
      <c r="G248">
        <v>2.5679690000000002</v>
      </c>
      <c r="H248">
        <v>2.56</v>
      </c>
    </row>
    <row r="249" spans="1:8" x14ac:dyDescent="0.25">
      <c r="A249">
        <v>2012</v>
      </c>
      <c r="B249" t="s">
        <v>27</v>
      </c>
      <c r="C249">
        <v>27.8</v>
      </c>
      <c r="D249">
        <v>285.87719806347002</v>
      </c>
      <c r="E249">
        <v>519.536461092531</v>
      </c>
      <c r="F249">
        <v>15178482.6339869</v>
      </c>
      <c r="G249">
        <v>13.632745999999999</v>
      </c>
      <c r="H249">
        <v>14.32</v>
      </c>
    </row>
    <row r="250" spans="1:8" x14ac:dyDescent="0.25">
      <c r="A250">
        <v>2012</v>
      </c>
      <c r="B250" t="s">
        <v>43</v>
      </c>
      <c r="C250">
        <v>29.3</v>
      </c>
      <c r="D250">
        <v>285.87719806347002</v>
      </c>
      <c r="E250">
        <v>519.536461092531</v>
      </c>
      <c r="F250">
        <v>15178482.6339869</v>
      </c>
      <c r="G250">
        <v>18.104448000000001</v>
      </c>
      <c r="H250">
        <v>18.239999999999998</v>
      </c>
    </row>
    <row r="251" spans="1:8" x14ac:dyDescent="0.25">
      <c r="A251">
        <v>2012</v>
      </c>
      <c r="B251" t="s">
        <v>14</v>
      </c>
      <c r="C251">
        <v>28.4</v>
      </c>
      <c r="D251">
        <v>285.87719806347002</v>
      </c>
      <c r="E251">
        <v>519.536461092531</v>
      </c>
      <c r="F251">
        <v>15178482.6339869</v>
      </c>
      <c r="G251">
        <v>11.285318999999999</v>
      </c>
      <c r="H251">
        <v>11.21</v>
      </c>
    </row>
    <row r="252" spans="1:8" x14ac:dyDescent="0.25">
      <c r="A252">
        <v>2012</v>
      </c>
      <c r="B252" t="s">
        <v>25</v>
      </c>
      <c r="C252">
        <v>22.5</v>
      </c>
      <c r="D252">
        <v>285.87719806347002</v>
      </c>
      <c r="E252">
        <v>519.536461092531</v>
      </c>
      <c r="F252">
        <v>15178482.6339869</v>
      </c>
      <c r="G252">
        <v>1.6241737999999999</v>
      </c>
      <c r="H252">
        <v>1.65</v>
      </c>
    </row>
    <row r="253" spans="1:8" x14ac:dyDescent="0.25">
      <c r="A253">
        <v>2012</v>
      </c>
      <c r="B253" t="s">
        <v>28</v>
      </c>
      <c r="C253">
        <v>23.4</v>
      </c>
      <c r="D253">
        <v>285.87719806347002</v>
      </c>
      <c r="E253">
        <v>519.536461092531</v>
      </c>
      <c r="F253">
        <v>15178482.6339869</v>
      </c>
      <c r="G253">
        <v>3.4113509999999998</v>
      </c>
      <c r="H253">
        <v>3.56</v>
      </c>
    </row>
    <row r="254" spans="1:8" x14ac:dyDescent="0.25">
      <c r="A254">
        <v>2012</v>
      </c>
      <c r="B254" t="s">
        <v>29</v>
      </c>
      <c r="C254">
        <v>25.7</v>
      </c>
      <c r="D254">
        <v>285.87719806347002</v>
      </c>
      <c r="E254">
        <v>519.536461092531</v>
      </c>
      <c r="F254">
        <v>15178482.6339869</v>
      </c>
      <c r="G254">
        <v>5.9128647000000001</v>
      </c>
      <c r="H254">
        <v>5.75</v>
      </c>
    </row>
    <row r="255" spans="1:8" x14ac:dyDescent="0.25">
      <c r="A255">
        <v>2012</v>
      </c>
      <c r="B255" t="s">
        <v>30</v>
      </c>
      <c r="C255">
        <v>25.1</v>
      </c>
      <c r="D255">
        <v>285.87719806347002</v>
      </c>
      <c r="E255">
        <v>519.536461092531</v>
      </c>
      <c r="F255">
        <v>15178482.6339869</v>
      </c>
      <c r="G255">
        <v>8.7550849999999993</v>
      </c>
      <c r="H255">
        <v>8.85</v>
      </c>
    </row>
    <row r="256" spans="1:8" x14ac:dyDescent="0.25">
      <c r="A256">
        <v>2012</v>
      </c>
      <c r="B256" t="s">
        <v>31</v>
      </c>
      <c r="C256">
        <v>28.7</v>
      </c>
      <c r="D256">
        <v>285.87719806347002</v>
      </c>
      <c r="E256">
        <v>519.536461092531</v>
      </c>
      <c r="F256">
        <v>15178482.6339869</v>
      </c>
      <c r="G256">
        <v>11.316934</v>
      </c>
      <c r="H256">
        <v>10.85</v>
      </c>
    </row>
    <row r="257" spans="1:8" x14ac:dyDescent="0.25">
      <c r="A257">
        <v>2012</v>
      </c>
      <c r="B257" t="s">
        <v>32</v>
      </c>
      <c r="C257">
        <v>25.6</v>
      </c>
      <c r="D257">
        <v>285.87719806347002</v>
      </c>
      <c r="E257">
        <v>519.536461092531</v>
      </c>
      <c r="F257">
        <v>15178482.6339869</v>
      </c>
      <c r="G257">
        <v>9.6055589999999995</v>
      </c>
      <c r="H257">
        <v>10.16</v>
      </c>
    </row>
    <row r="258" spans="1:8" x14ac:dyDescent="0.25">
      <c r="A258">
        <v>2012</v>
      </c>
      <c r="B258" t="s">
        <v>33</v>
      </c>
      <c r="C258">
        <v>19.7</v>
      </c>
      <c r="D258">
        <v>285.87719806347002</v>
      </c>
      <c r="E258">
        <v>519.536461092531</v>
      </c>
      <c r="F258">
        <v>15178482.6339869</v>
      </c>
      <c r="G258">
        <v>0.90547496000000005</v>
      </c>
      <c r="H258">
        <v>0.96</v>
      </c>
    </row>
    <row r="259" spans="1:8" x14ac:dyDescent="0.25">
      <c r="A259">
        <v>2012</v>
      </c>
      <c r="B259" t="s">
        <v>34</v>
      </c>
      <c r="C259">
        <v>27.8</v>
      </c>
      <c r="D259">
        <v>285.87719806347002</v>
      </c>
      <c r="E259">
        <v>519.536461092531</v>
      </c>
      <c r="F259">
        <v>15178482.6339869</v>
      </c>
      <c r="G259">
        <v>5.4867834999999996</v>
      </c>
      <c r="H259">
        <v>5.44</v>
      </c>
    </row>
    <row r="260" spans="1:8" x14ac:dyDescent="0.25">
      <c r="A260">
        <v>2012</v>
      </c>
      <c r="B260" t="s">
        <v>44</v>
      </c>
      <c r="C260">
        <v>25.3</v>
      </c>
      <c r="D260">
        <v>285.87719806347002</v>
      </c>
      <c r="E260">
        <v>519.536461092531</v>
      </c>
      <c r="F260">
        <v>15178482.6339869</v>
      </c>
      <c r="G260">
        <v>10.167261</v>
      </c>
      <c r="H260">
        <v>9.33</v>
      </c>
    </row>
    <row r="261" spans="1:8" x14ac:dyDescent="0.25">
      <c r="A261">
        <v>2012</v>
      </c>
      <c r="B261" t="s">
        <v>36</v>
      </c>
      <c r="C261">
        <v>26.1</v>
      </c>
      <c r="D261">
        <v>285.87719806347002</v>
      </c>
      <c r="E261">
        <v>519.536461092531</v>
      </c>
      <c r="F261">
        <v>15178482.6339869</v>
      </c>
      <c r="G261">
        <v>10.723936</v>
      </c>
      <c r="H261">
        <v>10.72</v>
      </c>
    </row>
    <row r="262" spans="1:8" x14ac:dyDescent="0.25">
      <c r="A262">
        <v>2012</v>
      </c>
      <c r="B262" t="s">
        <v>37</v>
      </c>
      <c r="C262">
        <v>26.7</v>
      </c>
      <c r="D262">
        <v>285.87719806347002</v>
      </c>
      <c r="E262">
        <v>519.536461092531</v>
      </c>
      <c r="F262">
        <v>15178482.6339869</v>
      </c>
      <c r="G262">
        <v>10.291062</v>
      </c>
      <c r="H262">
        <v>9.82</v>
      </c>
    </row>
    <row r="263" spans="1:8" x14ac:dyDescent="0.25">
      <c r="A263">
        <v>2012</v>
      </c>
      <c r="B263" t="s">
        <v>38</v>
      </c>
      <c r="C263">
        <v>24.5</v>
      </c>
      <c r="D263">
        <v>285.87719806347002</v>
      </c>
      <c r="E263">
        <v>519.536461092531</v>
      </c>
      <c r="F263">
        <v>15178482.6339869</v>
      </c>
      <c r="G263">
        <v>9.9801029999999997</v>
      </c>
      <c r="H263">
        <v>9.94</v>
      </c>
    </row>
    <row r="264" spans="1:8" x14ac:dyDescent="0.25">
      <c r="A264">
        <v>2012</v>
      </c>
      <c r="B264" t="s">
        <v>39</v>
      </c>
      <c r="C264">
        <v>28.7</v>
      </c>
      <c r="D264">
        <v>285.87719806347002</v>
      </c>
      <c r="E264">
        <v>519.536461092531</v>
      </c>
      <c r="F264">
        <v>15178482.6339869</v>
      </c>
      <c r="G264">
        <v>9.7062229999999996</v>
      </c>
      <c r="H264">
        <v>9.1300000000000008</v>
      </c>
    </row>
    <row r="265" spans="1:8" x14ac:dyDescent="0.25">
      <c r="A265">
        <v>2012</v>
      </c>
      <c r="B265" t="s">
        <v>40</v>
      </c>
      <c r="C265">
        <v>25.3</v>
      </c>
      <c r="D265">
        <v>285.87719806347002</v>
      </c>
      <c r="E265">
        <v>519.536461092531</v>
      </c>
      <c r="F265">
        <v>15178482.6339869</v>
      </c>
      <c r="G265">
        <v>9.0881749999999997</v>
      </c>
      <c r="H265">
        <v>9.1300000000000008</v>
      </c>
    </row>
    <row r="266" spans="1:8" x14ac:dyDescent="0.25">
      <c r="A266">
        <v>2012</v>
      </c>
      <c r="B266" t="s">
        <v>41</v>
      </c>
      <c r="C266">
        <v>27.4</v>
      </c>
      <c r="D266">
        <v>285.87719806347002</v>
      </c>
      <c r="E266">
        <v>519.536461092531</v>
      </c>
      <c r="F266">
        <v>15178482.6339869</v>
      </c>
      <c r="G266">
        <v>10.816637999999999</v>
      </c>
      <c r="H266">
        <v>11.46</v>
      </c>
    </row>
    <row r="267" spans="1:8" x14ac:dyDescent="0.25">
      <c r="A267">
        <v>2012</v>
      </c>
      <c r="B267" t="s">
        <v>42</v>
      </c>
      <c r="C267">
        <v>24.9</v>
      </c>
      <c r="D267">
        <v>285.87719806347002</v>
      </c>
      <c r="E267">
        <v>519.536461092531</v>
      </c>
      <c r="F267">
        <v>15178482.6339869</v>
      </c>
      <c r="G267">
        <v>5.5034932999999997</v>
      </c>
      <c r="H267">
        <v>5.43</v>
      </c>
    </row>
    <row r="268" spans="1:8" x14ac:dyDescent="0.25">
      <c r="A268">
        <v>2013</v>
      </c>
      <c r="B268" t="s">
        <v>27</v>
      </c>
      <c r="C268">
        <v>30.7</v>
      </c>
      <c r="D268">
        <v>286.464278277228</v>
      </c>
      <c r="E268">
        <v>350.02980124391598</v>
      </c>
      <c r="F268">
        <v>16054857.254901901</v>
      </c>
      <c r="G268">
        <v>3.6568665999999999</v>
      </c>
      <c r="H268">
        <v>3.51</v>
      </c>
    </row>
    <row r="269" spans="1:8" x14ac:dyDescent="0.25">
      <c r="A269">
        <v>2013</v>
      </c>
      <c r="B269" t="s">
        <v>43</v>
      </c>
      <c r="C269">
        <v>26.5</v>
      </c>
      <c r="D269">
        <v>286.464278277228</v>
      </c>
      <c r="E269">
        <v>350.02980124391598</v>
      </c>
      <c r="F269">
        <v>16054857.254901901</v>
      </c>
      <c r="G269">
        <v>9.9486080000000001</v>
      </c>
      <c r="H269">
        <v>6.65</v>
      </c>
    </row>
    <row r="270" spans="1:8" x14ac:dyDescent="0.25">
      <c r="A270">
        <v>2013</v>
      </c>
      <c r="B270" t="s">
        <v>14</v>
      </c>
      <c r="C270">
        <v>27.9</v>
      </c>
      <c r="D270">
        <v>286.464278277228</v>
      </c>
      <c r="E270">
        <v>350.02980124391598</v>
      </c>
      <c r="F270">
        <v>16054857.254901901</v>
      </c>
      <c r="G270">
        <v>8.7190139999999996</v>
      </c>
      <c r="H270">
        <v>8.75</v>
      </c>
    </row>
    <row r="271" spans="1:8" x14ac:dyDescent="0.25">
      <c r="A271">
        <v>2013</v>
      </c>
      <c r="B271" t="s">
        <v>25</v>
      </c>
      <c r="C271">
        <v>20.5</v>
      </c>
      <c r="D271">
        <v>286.464278277228</v>
      </c>
      <c r="E271">
        <v>350.02980124391598</v>
      </c>
      <c r="F271">
        <v>16054857.254901901</v>
      </c>
      <c r="G271">
        <v>1.3091345999999999</v>
      </c>
      <c r="H271">
        <v>1.34</v>
      </c>
    </row>
    <row r="272" spans="1:8" x14ac:dyDescent="0.25">
      <c r="A272">
        <v>2013</v>
      </c>
      <c r="B272" t="s">
        <v>28</v>
      </c>
      <c r="C272">
        <v>22.9</v>
      </c>
      <c r="D272">
        <v>286.464278277228</v>
      </c>
      <c r="E272">
        <v>350.02980124391598</v>
      </c>
      <c r="F272">
        <v>16054857.254901901</v>
      </c>
      <c r="G272">
        <v>3.2640264000000001</v>
      </c>
      <c r="H272">
        <v>3.32</v>
      </c>
    </row>
    <row r="273" spans="1:8" x14ac:dyDescent="0.25">
      <c r="A273">
        <v>2013</v>
      </c>
      <c r="B273" t="s">
        <v>29</v>
      </c>
      <c r="C273">
        <v>26.2</v>
      </c>
      <c r="D273">
        <v>286.464278277228</v>
      </c>
      <c r="E273">
        <v>350.02980124391598</v>
      </c>
      <c r="F273">
        <v>16054857.254901901</v>
      </c>
      <c r="G273">
        <v>5.7991805000000003</v>
      </c>
      <c r="H273">
        <v>5.9</v>
      </c>
    </row>
    <row r="274" spans="1:8" x14ac:dyDescent="0.25">
      <c r="A274">
        <v>2013</v>
      </c>
      <c r="B274" t="s">
        <v>30</v>
      </c>
      <c r="C274">
        <v>25.1</v>
      </c>
      <c r="D274">
        <v>286.464278277228</v>
      </c>
      <c r="E274">
        <v>350.02980124391598</v>
      </c>
      <c r="F274">
        <v>16054857.254901901</v>
      </c>
      <c r="G274">
        <v>4.5708776000000002</v>
      </c>
      <c r="H274">
        <v>4.4800000000000004</v>
      </c>
    </row>
    <row r="275" spans="1:8" x14ac:dyDescent="0.25">
      <c r="A275">
        <v>2013</v>
      </c>
      <c r="B275" t="s">
        <v>31</v>
      </c>
      <c r="C275">
        <v>25.4</v>
      </c>
      <c r="D275">
        <v>286.464278277228</v>
      </c>
      <c r="E275">
        <v>350.02980124391598</v>
      </c>
      <c r="F275">
        <v>16054857.254901901</v>
      </c>
      <c r="G275">
        <v>6.0239599999999998</v>
      </c>
      <c r="H275">
        <v>6.14</v>
      </c>
    </row>
    <row r="276" spans="1:8" x14ac:dyDescent="0.25">
      <c r="A276">
        <v>2013</v>
      </c>
      <c r="B276" t="s">
        <v>32</v>
      </c>
      <c r="C276">
        <v>23.3</v>
      </c>
      <c r="D276">
        <v>286.464278277228</v>
      </c>
      <c r="E276">
        <v>350.02980124391598</v>
      </c>
      <c r="F276">
        <v>16054857.254901901</v>
      </c>
      <c r="G276">
        <v>4.9843279999999996</v>
      </c>
      <c r="H276">
        <v>4.5199999999999996</v>
      </c>
    </row>
    <row r="277" spans="1:8" x14ac:dyDescent="0.25">
      <c r="A277">
        <v>2013</v>
      </c>
      <c r="B277" t="s">
        <v>33</v>
      </c>
      <c r="C277">
        <v>20.3</v>
      </c>
      <c r="D277">
        <v>286.464278277228</v>
      </c>
      <c r="E277">
        <v>350.02980124391598</v>
      </c>
      <c r="F277">
        <v>16054857.254901901</v>
      </c>
      <c r="G277">
        <v>1.8926489</v>
      </c>
      <c r="H277">
        <v>2.0699999999999998</v>
      </c>
    </row>
    <row r="278" spans="1:8" x14ac:dyDescent="0.25">
      <c r="A278">
        <v>2013</v>
      </c>
      <c r="B278" t="s">
        <v>34</v>
      </c>
      <c r="C278">
        <v>24</v>
      </c>
      <c r="D278">
        <v>286.464278277228</v>
      </c>
      <c r="E278">
        <v>350.02980124391598</v>
      </c>
      <c r="F278">
        <v>16054857.254901901</v>
      </c>
      <c r="G278">
        <v>4.3220505999999999</v>
      </c>
      <c r="H278">
        <v>4.3600000000000003</v>
      </c>
    </row>
    <row r="279" spans="1:8" x14ac:dyDescent="0.25">
      <c r="A279">
        <v>2013</v>
      </c>
      <c r="B279" t="s">
        <v>44</v>
      </c>
      <c r="C279">
        <v>28.1</v>
      </c>
      <c r="D279">
        <v>286.464278277228</v>
      </c>
      <c r="E279">
        <v>350.02980124391598</v>
      </c>
      <c r="F279">
        <v>16054857.254901901</v>
      </c>
      <c r="G279">
        <v>6.6394773000000002</v>
      </c>
      <c r="H279">
        <v>6.52</v>
      </c>
    </row>
    <row r="280" spans="1:8" x14ac:dyDescent="0.25">
      <c r="A280">
        <v>2013</v>
      </c>
      <c r="B280" t="s">
        <v>36</v>
      </c>
      <c r="C280">
        <v>27.6</v>
      </c>
      <c r="D280">
        <v>286.464278277228</v>
      </c>
      <c r="E280">
        <v>350.02980124391598</v>
      </c>
      <c r="F280">
        <v>16054857.254901901</v>
      </c>
      <c r="G280">
        <v>8.7640940000000001</v>
      </c>
      <c r="H280">
        <v>8.8000000000000007</v>
      </c>
    </row>
    <row r="281" spans="1:8" x14ac:dyDescent="0.25">
      <c r="A281">
        <v>2013</v>
      </c>
      <c r="B281" t="s">
        <v>37</v>
      </c>
      <c r="C281">
        <v>28.5</v>
      </c>
      <c r="D281">
        <v>286.464278277228</v>
      </c>
      <c r="E281">
        <v>350.02980124391598</v>
      </c>
      <c r="F281">
        <v>16054857.254901901</v>
      </c>
      <c r="G281">
        <v>9.2138819999999999</v>
      </c>
      <c r="H281">
        <v>9.52</v>
      </c>
    </row>
    <row r="282" spans="1:8" x14ac:dyDescent="0.25">
      <c r="A282">
        <v>2013</v>
      </c>
      <c r="B282" t="s">
        <v>38</v>
      </c>
      <c r="C282">
        <v>25.7</v>
      </c>
      <c r="D282">
        <v>286.464278277228</v>
      </c>
      <c r="E282">
        <v>350.02980124391598</v>
      </c>
      <c r="F282">
        <v>16054857.254901901</v>
      </c>
      <c r="G282">
        <v>7.748729</v>
      </c>
      <c r="H282">
        <v>7.03</v>
      </c>
    </row>
    <row r="283" spans="1:8" x14ac:dyDescent="0.25">
      <c r="A283">
        <v>2013</v>
      </c>
      <c r="B283" t="s">
        <v>39</v>
      </c>
      <c r="C283">
        <v>24.7</v>
      </c>
      <c r="D283">
        <v>286.464278277228</v>
      </c>
      <c r="E283">
        <v>350.02980124391598</v>
      </c>
      <c r="F283">
        <v>16054857.254901901</v>
      </c>
      <c r="G283">
        <v>6.5533700000000001</v>
      </c>
      <c r="H283">
        <v>6.57</v>
      </c>
    </row>
    <row r="284" spans="1:8" x14ac:dyDescent="0.25">
      <c r="A284">
        <v>2013</v>
      </c>
      <c r="B284" t="s">
        <v>40</v>
      </c>
      <c r="C284">
        <v>24.9</v>
      </c>
      <c r="D284">
        <v>286.464278277228</v>
      </c>
      <c r="E284">
        <v>350.02980124391598</v>
      </c>
      <c r="F284">
        <v>16054857.254901901</v>
      </c>
      <c r="G284">
        <v>3.8514024999999998</v>
      </c>
      <c r="H284">
        <v>3.46</v>
      </c>
    </row>
    <row r="285" spans="1:8" x14ac:dyDescent="0.25">
      <c r="A285">
        <v>2013</v>
      </c>
      <c r="B285" t="s">
        <v>41</v>
      </c>
      <c r="C285">
        <v>24.1</v>
      </c>
      <c r="D285">
        <v>286.464278277228</v>
      </c>
      <c r="E285">
        <v>350.02980124391598</v>
      </c>
      <c r="F285">
        <v>16054857.254901901</v>
      </c>
      <c r="G285">
        <v>5.7231310000000004</v>
      </c>
      <c r="H285">
        <v>5.95</v>
      </c>
    </row>
    <row r="286" spans="1:8" x14ac:dyDescent="0.25">
      <c r="A286">
        <v>2013</v>
      </c>
      <c r="B286" t="s">
        <v>42</v>
      </c>
      <c r="C286">
        <v>21</v>
      </c>
      <c r="D286">
        <v>286.464278277228</v>
      </c>
      <c r="E286">
        <v>350.02980124391598</v>
      </c>
      <c r="F286">
        <v>16054857.254901901</v>
      </c>
      <c r="G286">
        <v>4.7682915000000001</v>
      </c>
      <c r="H286">
        <v>3.1</v>
      </c>
    </row>
    <row r="287" spans="1:8" x14ac:dyDescent="0.25">
      <c r="A287">
        <v>2014</v>
      </c>
      <c r="B287" t="s">
        <v>27</v>
      </c>
      <c r="C287">
        <v>33.299999999999997</v>
      </c>
      <c r="D287">
        <v>286.93826194214603</v>
      </c>
      <c r="E287">
        <v>390.67958302050801</v>
      </c>
      <c r="F287">
        <v>15961311.0555555</v>
      </c>
      <c r="G287">
        <v>12.662792</v>
      </c>
      <c r="H287">
        <v>13.3</v>
      </c>
    </row>
    <row r="288" spans="1:8" x14ac:dyDescent="0.25">
      <c r="A288">
        <v>2014</v>
      </c>
      <c r="B288" t="s">
        <v>43</v>
      </c>
      <c r="C288">
        <v>32.799999999999997</v>
      </c>
      <c r="D288">
        <v>286.93826194214603</v>
      </c>
      <c r="E288">
        <v>390.67958302050801</v>
      </c>
      <c r="F288">
        <v>15961311.0555555</v>
      </c>
      <c r="G288">
        <v>15.587012</v>
      </c>
      <c r="H288">
        <v>15.46</v>
      </c>
    </row>
    <row r="289" spans="1:8" x14ac:dyDescent="0.25">
      <c r="A289">
        <v>2014</v>
      </c>
      <c r="B289" t="s">
        <v>14</v>
      </c>
      <c r="C289">
        <v>37.5</v>
      </c>
      <c r="D289">
        <v>286.93826194214603</v>
      </c>
      <c r="E289">
        <v>390.67958302050801</v>
      </c>
      <c r="F289">
        <v>15961311.0555555</v>
      </c>
      <c r="G289">
        <v>15.671246999999999</v>
      </c>
      <c r="H289">
        <v>15.87</v>
      </c>
    </row>
    <row r="290" spans="1:8" x14ac:dyDescent="0.25">
      <c r="A290">
        <v>2014</v>
      </c>
      <c r="B290" t="s">
        <v>25</v>
      </c>
      <c r="C290">
        <v>23.4</v>
      </c>
      <c r="D290">
        <v>286.93826194214603</v>
      </c>
      <c r="E290">
        <v>390.67958302050801</v>
      </c>
      <c r="F290">
        <v>15961311.0555555</v>
      </c>
      <c r="G290">
        <v>1.3881673999999999</v>
      </c>
      <c r="H290">
        <v>1.45</v>
      </c>
    </row>
    <row r="291" spans="1:8" x14ac:dyDescent="0.25">
      <c r="A291">
        <v>2014</v>
      </c>
      <c r="B291" t="s">
        <v>28</v>
      </c>
      <c r="C291">
        <v>27.7</v>
      </c>
      <c r="D291">
        <v>286.93826194214603</v>
      </c>
      <c r="E291">
        <v>390.67958302050801</v>
      </c>
      <c r="F291">
        <v>15961311.0555555</v>
      </c>
      <c r="G291">
        <v>4.3004756000000004</v>
      </c>
      <c r="H291">
        <v>4.25</v>
      </c>
    </row>
    <row r="292" spans="1:8" x14ac:dyDescent="0.25">
      <c r="A292">
        <v>2014</v>
      </c>
      <c r="B292" t="s">
        <v>29</v>
      </c>
      <c r="C292">
        <v>33.700000000000003</v>
      </c>
      <c r="D292">
        <v>286.93826194214603</v>
      </c>
      <c r="E292">
        <v>390.67958302050801</v>
      </c>
      <c r="F292">
        <v>15961311.0555555</v>
      </c>
      <c r="G292">
        <v>7.7836949999999998</v>
      </c>
      <c r="H292">
        <v>7.77</v>
      </c>
    </row>
    <row r="293" spans="1:8" x14ac:dyDescent="0.25">
      <c r="A293">
        <v>2014</v>
      </c>
      <c r="B293" t="s">
        <v>30</v>
      </c>
      <c r="C293">
        <v>35.5</v>
      </c>
      <c r="D293">
        <v>286.93826194214603</v>
      </c>
      <c r="E293">
        <v>390.67958302050801</v>
      </c>
      <c r="F293">
        <v>15961311.0555555</v>
      </c>
      <c r="G293">
        <v>9.3348879999999994</v>
      </c>
      <c r="H293">
        <v>9.8699999999999992</v>
      </c>
    </row>
    <row r="294" spans="1:8" x14ac:dyDescent="0.25">
      <c r="A294">
        <v>2014</v>
      </c>
      <c r="B294" t="s">
        <v>31</v>
      </c>
      <c r="C294">
        <v>28.8</v>
      </c>
      <c r="D294">
        <v>286.93826194214603</v>
      </c>
      <c r="E294">
        <v>390.67958302050801</v>
      </c>
      <c r="F294">
        <v>15961311.0555555</v>
      </c>
      <c r="G294">
        <v>8.6732239999999994</v>
      </c>
      <c r="H294">
        <v>8.57</v>
      </c>
    </row>
    <row r="295" spans="1:8" x14ac:dyDescent="0.25">
      <c r="A295">
        <v>2014</v>
      </c>
      <c r="B295" t="s">
        <v>32</v>
      </c>
      <c r="C295">
        <v>28.1</v>
      </c>
      <c r="D295">
        <v>286.93826194214603</v>
      </c>
      <c r="E295">
        <v>390.67958302050801</v>
      </c>
      <c r="F295">
        <v>15961311.0555555</v>
      </c>
      <c r="G295">
        <v>8.9097399999999993</v>
      </c>
      <c r="H295">
        <v>8.9600000000000009</v>
      </c>
    </row>
    <row r="296" spans="1:8" x14ac:dyDescent="0.25">
      <c r="A296">
        <v>2014</v>
      </c>
      <c r="B296" t="s">
        <v>33</v>
      </c>
      <c r="C296">
        <v>23.5</v>
      </c>
      <c r="D296">
        <v>286.93826194214603</v>
      </c>
      <c r="E296">
        <v>390.67958302050801</v>
      </c>
      <c r="F296">
        <v>15961311.0555555</v>
      </c>
      <c r="G296">
        <v>2.7433743000000002</v>
      </c>
      <c r="H296">
        <v>2.79</v>
      </c>
    </row>
    <row r="297" spans="1:8" x14ac:dyDescent="0.25">
      <c r="A297">
        <v>2014</v>
      </c>
      <c r="B297" t="s">
        <v>34</v>
      </c>
      <c r="C297">
        <v>27</v>
      </c>
      <c r="D297">
        <v>286.93826194214603</v>
      </c>
      <c r="E297">
        <v>390.67958302050801</v>
      </c>
      <c r="F297">
        <v>15961311.0555555</v>
      </c>
      <c r="G297">
        <v>4.4262513999999999</v>
      </c>
      <c r="H297">
        <v>4.3600000000000003</v>
      </c>
    </row>
    <row r="298" spans="1:8" x14ac:dyDescent="0.25">
      <c r="A298">
        <v>2014</v>
      </c>
      <c r="B298" t="s">
        <v>44</v>
      </c>
      <c r="C298">
        <v>32.200000000000003</v>
      </c>
      <c r="D298">
        <v>286.93826194214603</v>
      </c>
      <c r="E298">
        <v>390.67958302050801</v>
      </c>
      <c r="F298">
        <v>15961311.0555555</v>
      </c>
      <c r="G298">
        <v>11.073884</v>
      </c>
      <c r="H298">
        <v>11.11</v>
      </c>
    </row>
    <row r="299" spans="1:8" x14ac:dyDescent="0.25">
      <c r="A299">
        <v>2014</v>
      </c>
      <c r="B299" t="s">
        <v>36</v>
      </c>
      <c r="C299">
        <v>28.4</v>
      </c>
      <c r="D299">
        <v>286.93826194214603</v>
      </c>
      <c r="E299">
        <v>390.67958302050801</v>
      </c>
      <c r="F299">
        <v>15961311.0555555</v>
      </c>
      <c r="G299">
        <v>10.242133000000001</v>
      </c>
      <c r="H299">
        <v>9.58</v>
      </c>
    </row>
    <row r="300" spans="1:8" x14ac:dyDescent="0.25">
      <c r="A300">
        <v>2014</v>
      </c>
      <c r="B300" t="s">
        <v>37</v>
      </c>
      <c r="C300">
        <v>35.1</v>
      </c>
      <c r="D300">
        <v>286.93826194214603</v>
      </c>
      <c r="E300">
        <v>390.67958302050801</v>
      </c>
      <c r="F300">
        <v>15961311.0555555</v>
      </c>
      <c r="G300">
        <v>12.04054</v>
      </c>
      <c r="H300">
        <v>11.33</v>
      </c>
    </row>
    <row r="301" spans="1:8" x14ac:dyDescent="0.25">
      <c r="A301">
        <v>2014</v>
      </c>
      <c r="B301" t="s">
        <v>38</v>
      </c>
      <c r="C301">
        <v>27</v>
      </c>
      <c r="D301">
        <v>286.93826194214603</v>
      </c>
      <c r="E301">
        <v>390.67958302050801</v>
      </c>
      <c r="F301">
        <v>15961311.0555555</v>
      </c>
      <c r="G301">
        <v>10.001066</v>
      </c>
      <c r="H301">
        <v>10.06</v>
      </c>
    </row>
    <row r="302" spans="1:8" x14ac:dyDescent="0.25">
      <c r="A302">
        <v>2014</v>
      </c>
      <c r="B302" t="s">
        <v>39</v>
      </c>
      <c r="C302">
        <v>26.9</v>
      </c>
      <c r="D302">
        <v>286.93826194214603</v>
      </c>
      <c r="E302">
        <v>390.67958302050801</v>
      </c>
      <c r="F302">
        <v>15961311.0555555</v>
      </c>
      <c r="G302">
        <v>8.7781310000000001</v>
      </c>
      <c r="H302">
        <v>8.59</v>
      </c>
    </row>
    <row r="303" spans="1:8" x14ac:dyDescent="0.25">
      <c r="A303">
        <v>2014</v>
      </c>
      <c r="B303" t="s">
        <v>40</v>
      </c>
      <c r="C303">
        <v>29.6</v>
      </c>
      <c r="D303">
        <v>286.93826194214603</v>
      </c>
      <c r="E303">
        <v>390.67958302050801</v>
      </c>
      <c r="F303">
        <v>15961311.0555555</v>
      </c>
      <c r="G303">
        <v>8.9390619999999998</v>
      </c>
      <c r="H303">
        <v>8.99</v>
      </c>
    </row>
    <row r="304" spans="1:8" x14ac:dyDescent="0.25">
      <c r="A304">
        <v>2014</v>
      </c>
      <c r="B304" t="s">
        <v>41</v>
      </c>
      <c r="C304">
        <v>29.8</v>
      </c>
      <c r="D304">
        <v>286.93826194214603</v>
      </c>
      <c r="E304">
        <v>390.67958302050801</v>
      </c>
      <c r="F304">
        <v>15961311.0555555</v>
      </c>
      <c r="G304">
        <v>8.9532500000000006</v>
      </c>
      <c r="H304">
        <v>8.98</v>
      </c>
    </row>
    <row r="305" spans="1:8" x14ac:dyDescent="0.25">
      <c r="A305">
        <v>2014</v>
      </c>
      <c r="B305" t="s">
        <v>42</v>
      </c>
      <c r="C305">
        <v>26.6</v>
      </c>
      <c r="D305">
        <v>286.93826194214603</v>
      </c>
      <c r="E305">
        <v>390.67958302050801</v>
      </c>
      <c r="F305">
        <v>15961311.0555555</v>
      </c>
      <c r="G305">
        <v>8.6857439999999997</v>
      </c>
      <c r="H305">
        <v>4.53</v>
      </c>
    </row>
    <row r="306" spans="1:8" x14ac:dyDescent="0.25">
      <c r="A306">
        <v>2015</v>
      </c>
      <c r="B306" t="s">
        <v>27</v>
      </c>
      <c r="C306">
        <v>25</v>
      </c>
      <c r="D306">
        <v>285.79762716854299</v>
      </c>
      <c r="E306">
        <v>440.905763949267</v>
      </c>
      <c r="F306">
        <v>15608729.183006501</v>
      </c>
      <c r="G306">
        <v>14.19483</v>
      </c>
      <c r="H306">
        <v>14.31</v>
      </c>
    </row>
    <row r="307" spans="1:8" x14ac:dyDescent="0.25">
      <c r="A307">
        <v>2015</v>
      </c>
      <c r="B307" t="s">
        <v>43</v>
      </c>
      <c r="C307">
        <v>27.1</v>
      </c>
      <c r="D307">
        <v>285.79762716854299</v>
      </c>
      <c r="E307">
        <v>440.905763949267</v>
      </c>
      <c r="F307">
        <v>15608729.183006501</v>
      </c>
      <c r="G307">
        <v>16.51051</v>
      </c>
      <c r="H307">
        <v>16.61</v>
      </c>
    </row>
    <row r="308" spans="1:8" x14ac:dyDescent="0.25">
      <c r="A308">
        <v>2015</v>
      </c>
      <c r="B308" t="s">
        <v>14</v>
      </c>
      <c r="C308">
        <v>26.9</v>
      </c>
      <c r="D308">
        <v>285.79762716854299</v>
      </c>
      <c r="E308">
        <v>440.905763949267</v>
      </c>
      <c r="F308">
        <v>15608729.183006501</v>
      </c>
      <c r="G308">
        <v>12.341585</v>
      </c>
      <c r="H308">
        <v>12.12</v>
      </c>
    </row>
    <row r="309" spans="1:8" x14ac:dyDescent="0.25">
      <c r="A309">
        <v>2015</v>
      </c>
      <c r="B309" t="s">
        <v>25</v>
      </c>
      <c r="C309">
        <v>22</v>
      </c>
      <c r="D309">
        <v>285.79762716854299</v>
      </c>
      <c r="E309">
        <v>440.905763949267</v>
      </c>
      <c r="F309">
        <v>15608729.183006501</v>
      </c>
      <c r="G309">
        <v>2.8274252</v>
      </c>
      <c r="H309">
        <v>2.63</v>
      </c>
    </row>
    <row r="310" spans="1:8" x14ac:dyDescent="0.25">
      <c r="A310">
        <v>2015</v>
      </c>
      <c r="B310" t="s">
        <v>28</v>
      </c>
      <c r="C310">
        <v>23.4</v>
      </c>
      <c r="D310">
        <v>285.79762716854299</v>
      </c>
      <c r="E310">
        <v>440.905763949267</v>
      </c>
      <c r="F310">
        <v>15608729.183006501</v>
      </c>
      <c r="G310">
        <v>4.296278</v>
      </c>
      <c r="H310">
        <v>4.05</v>
      </c>
    </row>
    <row r="311" spans="1:8" x14ac:dyDescent="0.25">
      <c r="A311">
        <v>2015</v>
      </c>
      <c r="B311" t="s">
        <v>29</v>
      </c>
      <c r="C311">
        <v>23.4</v>
      </c>
      <c r="D311">
        <v>285.79762716854299</v>
      </c>
      <c r="E311">
        <v>440.905763949267</v>
      </c>
      <c r="F311">
        <v>15608729.183006501</v>
      </c>
      <c r="G311">
        <v>7.2858714999999998</v>
      </c>
      <c r="H311">
        <v>7.13</v>
      </c>
    </row>
    <row r="312" spans="1:8" x14ac:dyDescent="0.25">
      <c r="A312">
        <v>2015</v>
      </c>
      <c r="B312" t="s">
        <v>30</v>
      </c>
      <c r="C312">
        <v>24</v>
      </c>
      <c r="D312">
        <v>285.79762716854299</v>
      </c>
      <c r="E312">
        <v>440.905763949267</v>
      </c>
      <c r="F312">
        <v>15608729.183006501</v>
      </c>
      <c r="G312">
        <v>9.1700429999999997</v>
      </c>
      <c r="H312">
        <v>8.8800000000000008</v>
      </c>
    </row>
    <row r="313" spans="1:8" x14ac:dyDescent="0.25">
      <c r="A313">
        <v>2015</v>
      </c>
      <c r="B313" t="s">
        <v>31</v>
      </c>
      <c r="C313">
        <v>21.6</v>
      </c>
      <c r="D313">
        <v>285.79762716854299</v>
      </c>
      <c r="E313">
        <v>440.905763949267</v>
      </c>
      <c r="F313">
        <v>15608729.183006501</v>
      </c>
      <c r="G313">
        <v>11.000622999999999</v>
      </c>
      <c r="H313">
        <v>10.85</v>
      </c>
    </row>
    <row r="314" spans="1:8" x14ac:dyDescent="0.25">
      <c r="A314">
        <v>2015</v>
      </c>
      <c r="B314" t="s">
        <v>32</v>
      </c>
      <c r="C314">
        <v>20.8</v>
      </c>
      <c r="D314">
        <v>285.79762716854299</v>
      </c>
      <c r="E314">
        <v>440.905763949267</v>
      </c>
      <c r="F314">
        <v>15608729.183006501</v>
      </c>
      <c r="G314">
        <v>10.008817000000001</v>
      </c>
      <c r="H314">
        <v>10.119999999999999</v>
      </c>
    </row>
    <row r="315" spans="1:8" x14ac:dyDescent="0.25">
      <c r="A315">
        <v>2015</v>
      </c>
      <c r="B315" t="s">
        <v>33</v>
      </c>
      <c r="C315">
        <v>20</v>
      </c>
      <c r="D315">
        <v>285.79762716854299</v>
      </c>
      <c r="E315">
        <v>440.905763949267</v>
      </c>
      <c r="F315">
        <v>15608729.183006501</v>
      </c>
      <c r="G315">
        <v>2.8513204999999999</v>
      </c>
      <c r="H315">
        <v>2.83</v>
      </c>
    </row>
    <row r="316" spans="1:8" x14ac:dyDescent="0.25">
      <c r="A316">
        <v>2015</v>
      </c>
      <c r="B316" t="s">
        <v>34</v>
      </c>
      <c r="C316">
        <v>21</v>
      </c>
      <c r="D316">
        <v>285.79762716854299</v>
      </c>
      <c r="E316">
        <v>440.905763949267</v>
      </c>
      <c r="F316">
        <v>15608729.183006501</v>
      </c>
      <c r="G316">
        <v>7.7492890000000001</v>
      </c>
      <c r="H316">
        <v>7.71</v>
      </c>
    </row>
    <row r="317" spans="1:8" x14ac:dyDescent="0.25">
      <c r="A317">
        <v>2015</v>
      </c>
      <c r="B317" t="s">
        <v>44</v>
      </c>
      <c r="C317">
        <v>24.1</v>
      </c>
      <c r="D317">
        <v>285.79762716854299</v>
      </c>
      <c r="E317">
        <v>440.905763949267</v>
      </c>
      <c r="F317">
        <v>15608729.183006501</v>
      </c>
      <c r="G317">
        <v>14.458561</v>
      </c>
      <c r="H317">
        <v>14.64</v>
      </c>
    </row>
    <row r="318" spans="1:8" x14ac:dyDescent="0.25">
      <c r="A318">
        <v>2015</v>
      </c>
      <c r="B318" t="s">
        <v>36</v>
      </c>
      <c r="C318">
        <v>24.8</v>
      </c>
      <c r="D318">
        <v>285.79762716854299</v>
      </c>
      <c r="E318">
        <v>440.905763949267</v>
      </c>
      <c r="F318">
        <v>15608729.183006501</v>
      </c>
      <c r="G318">
        <v>14.863243000000001</v>
      </c>
      <c r="H318">
        <v>15</v>
      </c>
    </row>
    <row r="319" spans="1:8" x14ac:dyDescent="0.25">
      <c r="A319">
        <v>2015</v>
      </c>
      <c r="B319" t="s">
        <v>37</v>
      </c>
      <c r="C319">
        <v>24.6</v>
      </c>
      <c r="D319">
        <v>285.79762716854299</v>
      </c>
      <c r="E319">
        <v>440.905763949267</v>
      </c>
      <c r="F319">
        <v>15608729.183006501</v>
      </c>
      <c r="G319">
        <v>14.117018</v>
      </c>
      <c r="H319">
        <v>14.47</v>
      </c>
    </row>
    <row r="320" spans="1:8" x14ac:dyDescent="0.25">
      <c r="A320">
        <v>2015</v>
      </c>
      <c r="B320" t="s">
        <v>38</v>
      </c>
      <c r="C320">
        <v>22.8</v>
      </c>
      <c r="D320">
        <v>285.79762716854299</v>
      </c>
      <c r="E320">
        <v>440.905763949267</v>
      </c>
      <c r="F320">
        <v>15608729.183006501</v>
      </c>
      <c r="G320">
        <v>12.996346000000001</v>
      </c>
      <c r="H320">
        <v>13.15</v>
      </c>
    </row>
    <row r="321" spans="1:8" x14ac:dyDescent="0.25">
      <c r="A321">
        <v>2015</v>
      </c>
      <c r="B321" t="s">
        <v>39</v>
      </c>
      <c r="C321">
        <v>22.6</v>
      </c>
      <c r="D321">
        <v>285.79762716854299</v>
      </c>
      <c r="E321">
        <v>440.905763949267</v>
      </c>
      <c r="F321">
        <v>15608729.183006501</v>
      </c>
      <c r="G321">
        <v>13.956877</v>
      </c>
      <c r="H321">
        <v>14.18</v>
      </c>
    </row>
    <row r="322" spans="1:8" x14ac:dyDescent="0.25">
      <c r="A322">
        <v>2015</v>
      </c>
      <c r="B322" t="s">
        <v>40</v>
      </c>
      <c r="C322">
        <v>22.7</v>
      </c>
      <c r="D322">
        <v>285.79762716854299</v>
      </c>
      <c r="E322">
        <v>440.905763949267</v>
      </c>
      <c r="F322">
        <v>15608729.183006501</v>
      </c>
      <c r="G322">
        <v>12.136566</v>
      </c>
      <c r="H322">
        <v>12.35</v>
      </c>
    </row>
    <row r="323" spans="1:8" x14ac:dyDescent="0.25">
      <c r="A323">
        <v>2015</v>
      </c>
      <c r="B323" t="s">
        <v>41</v>
      </c>
      <c r="C323">
        <v>24.9</v>
      </c>
      <c r="D323">
        <v>285.79762716854299</v>
      </c>
      <c r="E323">
        <v>440.905763949267</v>
      </c>
      <c r="F323">
        <v>15608729.183006501</v>
      </c>
      <c r="G323">
        <v>12.403366999999999</v>
      </c>
      <c r="H323">
        <v>11.94</v>
      </c>
    </row>
    <row r="324" spans="1:8" x14ac:dyDescent="0.25">
      <c r="A324">
        <v>2015</v>
      </c>
      <c r="B324" t="s">
        <v>42</v>
      </c>
      <c r="C324">
        <v>19.2</v>
      </c>
      <c r="D324">
        <v>285.79762716854299</v>
      </c>
      <c r="E324">
        <v>440.905763949267</v>
      </c>
      <c r="F324">
        <v>15608729.183006501</v>
      </c>
      <c r="G324">
        <v>5.2789945999999999</v>
      </c>
      <c r="H324">
        <v>5.0999999999999996</v>
      </c>
    </row>
    <row r="325" spans="1:8" x14ac:dyDescent="0.25">
      <c r="A325">
        <v>2016</v>
      </c>
      <c r="B325" t="s">
        <v>27</v>
      </c>
      <c r="C325">
        <v>31.9</v>
      </c>
      <c r="D325">
        <v>271.09802525339501</v>
      </c>
      <c r="E325">
        <v>414.72160359658301</v>
      </c>
      <c r="F325">
        <v>15475528.1470588</v>
      </c>
      <c r="G325">
        <v>12.540792</v>
      </c>
      <c r="H325">
        <v>12.57</v>
      </c>
    </row>
    <row r="326" spans="1:8" x14ac:dyDescent="0.25">
      <c r="A326">
        <v>2016</v>
      </c>
      <c r="B326" t="s">
        <v>43</v>
      </c>
      <c r="C326">
        <v>30.1</v>
      </c>
      <c r="D326">
        <v>271.09802525339501</v>
      </c>
      <c r="E326">
        <v>414.72160359658301</v>
      </c>
      <c r="F326">
        <v>15475528.1470588</v>
      </c>
      <c r="G326">
        <v>9.4379500000000007</v>
      </c>
      <c r="H326">
        <v>9.43</v>
      </c>
    </row>
    <row r="327" spans="1:8" x14ac:dyDescent="0.25">
      <c r="A327">
        <v>2016</v>
      </c>
      <c r="B327" t="s">
        <v>14</v>
      </c>
      <c r="C327">
        <v>36.299999999999997</v>
      </c>
      <c r="D327">
        <v>271.09802525339501</v>
      </c>
      <c r="E327">
        <v>414.72160359658301</v>
      </c>
      <c r="F327">
        <v>15475528.1470588</v>
      </c>
      <c r="G327">
        <v>8.6992480000000008</v>
      </c>
      <c r="H327">
        <v>8.66</v>
      </c>
    </row>
    <row r="328" spans="1:8" x14ac:dyDescent="0.25">
      <c r="A328">
        <v>2016</v>
      </c>
      <c r="B328" t="s">
        <v>25</v>
      </c>
      <c r="C328">
        <v>24.1</v>
      </c>
      <c r="D328">
        <v>271.09802525339501</v>
      </c>
      <c r="E328">
        <v>414.72160359658301</v>
      </c>
      <c r="F328">
        <v>15475528.1470588</v>
      </c>
      <c r="G328">
        <v>2.3430111</v>
      </c>
      <c r="H328">
        <v>0.8</v>
      </c>
    </row>
    <row r="329" spans="1:8" x14ac:dyDescent="0.25">
      <c r="A329">
        <v>2016</v>
      </c>
      <c r="B329" t="s">
        <v>28</v>
      </c>
      <c r="C329">
        <v>29.1</v>
      </c>
      <c r="D329">
        <v>271.09802525339501</v>
      </c>
      <c r="E329">
        <v>414.72160359658301</v>
      </c>
      <c r="F329">
        <v>15475528.1470588</v>
      </c>
      <c r="G329">
        <v>2.0653320000000002</v>
      </c>
      <c r="H329">
        <v>2.33</v>
      </c>
    </row>
    <row r="330" spans="1:8" x14ac:dyDescent="0.25">
      <c r="A330">
        <v>2016</v>
      </c>
      <c r="B330" t="s">
        <v>29</v>
      </c>
      <c r="C330">
        <v>32.799999999999997</v>
      </c>
      <c r="D330">
        <v>271.09802525339501</v>
      </c>
      <c r="E330">
        <v>414.72160359658301</v>
      </c>
      <c r="F330">
        <v>15475528.1470588</v>
      </c>
      <c r="G330">
        <v>4.105003</v>
      </c>
      <c r="H330">
        <v>4.3600000000000003</v>
      </c>
    </row>
    <row r="331" spans="1:8" x14ac:dyDescent="0.25">
      <c r="A331">
        <v>2016</v>
      </c>
      <c r="B331" t="s">
        <v>30</v>
      </c>
      <c r="C331">
        <v>32</v>
      </c>
      <c r="D331">
        <v>271.09802525339501</v>
      </c>
      <c r="E331">
        <v>414.72160359658301</v>
      </c>
      <c r="F331">
        <v>15475528.1470588</v>
      </c>
      <c r="G331">
        <v>4.9275393000000003</v>
      </c>
      <c r="H331">
        <v>4.95</v>
      </c>
    </row>
    <row r="332" spans="1:8" x14ac:dyDescent="0.25">
      <c r="A332">
        <v>2016</v>
      </c>
      <c r="B332" t="s">
        <v>31</v>
      </c>
      <c r="C332">
        <v>28.8</v>
      </c>
      <c r="D332">
        <v>271.09802525339501</v>
      </c>
      <c r="E332">
        <v>414.72160359658301</v>
      </c>
      <c r="F332">
        <v>15475528.1470588</v>
      </c>
      <c r="G332">
        <v>5.4252260000000003</v>
      </c>
      <c r="H332">
        <v>5.47</v>
      </c>
    </row>
    <row r="333" spans="1:8" x14ac:dyDescent="0.25">
      <c r="A333">
        <v>2016</v>
      </c>
      <c r="B333" t="s">
        <v>32</v>
      </c>
      <c r="C333">
        <v>31.5</v>
      </c>
      <c r="D333">
        <v>271.09802525339501</v>
      </c>
      <c r="E333">
        <v>414.72160359658301</v>
      </c>
      <c r="F333">
        <v>15475528.1470588</v>
      </c>
      <c r="G333">
        <v>5.5466704</v>
      </c>
      <c r="H333">
        <v>5.4</v>
      </c>
    </row>
    <row r="334" spans="1:8" x14ac:dyDescent="0.25">
      <c r="A334">
        <v>2016</v>
      </c>
      <c r="B334" t="s">
        <v>33</v>
      </c>
      <c r="C334">
        <v>21.8</v>
      </c>
      <c r="D334">
        <v>271.09802525339501</v>
      </c>
      <c r="E334">
        <v>414.72160359658301</v>
      </c>
      <c r="F334">
        <v>15475528.1470588</v>
      </c>
      <c r="G334">
        <v>3.8727502999999999</v>
      </c>
      <c r="H334">
        <v>3.8</v>
      </c>
    </row>
    <row r="335" spans="1:8" x14ac:dyDescent="0.25">
      <c r="A335">
        <v>2016</v>
      </c>
      <c r="B335" t="s">
        <v>34</v>
      </c>
      <c r="C335">
        <v>24.5</v>
      </c>
      <c r="D335">
        <v>271.09802525339501</v>
      </c>
      <c r="E335">
        <v>414.72160359658301</v>
      </c>
      <c r="F335">
        <v>15475528.1470588</v>
      </c>
      <c r="G335">
        <v>3.0756822000000001</v>
      </c>
      <c r="H335">
        <v>3.15</v>
      </c>
    </row>
    <row r="336" spans="1:8" x14ac:dyDescent="0.25">
      <c r="A336">
        <v>2016</v>
      </c>
      <c r="B336" t="s">
        <v>44</v>
      </c>
      <c r="C336">
        <v>27.4</v>
      </c>
      <c r="D336">
        <v>271.09802525339501</v>
      </c>
      <c r="E336">
        <v>414.72160359658301</v>
      </c>
      <c r="F336">
        <v>15475528.1470588</v>
      </c>
      <c r="G336">
        <v>7.3258979999999996</v>
      </c>
      <c r="H336">
        <v>5.74</v>
      </c>
    </row>
    <row r="337" spans="1:8" x14ac:dyDescent="0.25">
      <c r="A337">
        <v>2016</v>
      </c>
      <c r="B337" t="s">
        <v>36</v>
      </c>
      <c r="C337">
        <v>28.4</v>
      </c>
      <c r="D337">
        <v>271.09802525339501</v>
      </c>
      <c r="E337">
        <v>414.72160359658301</v>
      </c>
      <c r="F337">
        <v>15475528.1470588</v>
      </c>
      <c r="G337">
        <v>7.0772395000000001</v>
      </c>
      <c r="H337">
        <v>6.82</v>
      </c>
    </row>
    <row r="338" spans="1:8" x14ac:dyDescent="0.25">
      <c r="A338">
        <v>2016</v>
      </c>
      <c r="B338" t="s">
        <v>37</v>
      </c>
      <c r="C338">
        <v>32.9</v>
      </c>
      <c r="D338">
        <v>271.09802525339501</v>
      </c>
      <c r="E338">
        <v>414.72160359658301</v>
      </c>
      <c r="F338">
        <v>15475528.1470588</v>
      </c>
      <c r="G338">
        <v>7.2720737</v>
      </c>
      <c r="H338">
        <v>7.29</v>
      </c>
    </row>
    <row r="339" spans="1:8" x14ac:dyDescent="0.25">
      <c r="A339">
        <v>2016</v>
      </c>
      <c r="B339" t="s">
        <v>38</v>
      </c>
      <c r="C339">
        <v>29.2</v>
      </c>
      <c r="D339">
        <v>271.09802525339501</v>
      </c>
      <c r="E339">
        <v>414.72160359658301</v>
      </c>
      <c r="F339">
        <v>15475528.1470588</v>
      </c>
      <c r="G339">
        <v>5.8270819999999999</v>
      </c>
      <c r="H339">
        <v>5.77</v>
      </c>
    </row>
    <row r="340" spans="1:8" x14ac:dyDescent="0.25">
      <c r="A340">
        <v>2016</v>
      </c>
      <c r="B340" t="s">
        <v>39</v>
      </c>
      <c r="C340">
        <v>29.4</v>
      </c>
      <c r="D340">
        <v>271.09802525339501</v>
      </c>
      <c r="E340">
        <v>414.72160359658301</v>
      </c>
      <c r="F340">
        <v>15475528.1470588</v>
      </c>
      <c r="G340">
        <v>6.0287876000000002</v>
      </c>
      <c r="H340">
        <v>6.02</v>
      </c>
    </row>
    <row r="341" spans="1:8" x14ac:dyDescent="0.25">
      <c r="A341">
        <v>2016</v>
      </c>
      <c r="B341" t="s">
        <v>40</v>
      </c>
      <c r="C341">
        <v>29</v>
      </c>
      <c r="D341">
        <v>271.09802525339501</v>
      </c>
      <c r="E341">
        <v>414.72160359658301</v>
      </c>
      <c r="F341">
        <v>15475528.1470588</v>
      </c>
      <c r="G341">
        <v>4.9999513999999996</v>
      </c>
      <c r="H341">
        <v>4.92</v>
      </c>
    </row>
    <row r="342" spans="1:8" x14ac:dyDescent="0.25">
      <c r="A342">
        <v>2016</v>
      </c>
      <c r="B342" t="s">
        <v>41</v>
      </c>
      <c r="C342">
        <v>33.4</v>
      </c>
      <c r="D342">
        <v>271.09802525339501</v>
      </c>
      <c r="E342">
        <v>414.72160359658301</v>
      </c>
      <c r="F342">
        <v>15475528.1470588</v>
      </c>
      <c r="G342">
        <v>7.989134</v>
      </c>
      <c r="H342">
        <v>7.89</v>
      </c>
    </row>
    <row r="343" spans="1:8" x14ac:dyDescent="0.25">
      <c r="A343">
        <v>2016</v>
      </c>
      <c r="B343" t="s">
        <v>42</v>
      </c>
      <c r="C343">
        <v>31.6</v>
      </c>
      <c r="D343">
        <v>271.09802525339501</v>
      </c>
      <c r="E343">
        <v>414.72160359658301</v>
      </c>
      <c r="F343">
        <v>15475528.1470588</v>
      </c>
      <c r="G343">
        <v>3.3838110000000001</v>
      </c>
      <c r="H343">
        <v>4.68</v>
      </c>
    </row>
    <row r="344" spans="1:8" x14ac:dyDescent="0.25">
      <c r="A344">
        <v>2017</v>
      </c>
      <c r="B344" t="s">
        <v>27</v>
      </c>
      <c r="C344">
        <v>27.5</v>
      </c>
      <c r="D344">
        <v>286.78263186785102</v>
      </c>
      <c r="E344">
        <v>484.60988227278</v>
      </c>
      <c r="F344">
        <v>15346935.022875801</v>
      </c>
      <c r="G344">
        <v>11.676190999999999</v>
      </c>
      <c r="H344">
        <v>11.02</v>
      </c>
    </row>
    <row r="345" spans="1:8" x14ac:dyDescent="0.25">
      <c r="A345">
        <v>2017</v>
      </c>
      <c r="B345" t="s">
        <v>43</v>
      </c>
      <c r="C345">
        <v>28.5</v>
      </c>
      <c r="D345">
        <v>286.78263186785102</v>
      </c>
      <c r="E345">
        <v>484.60988227278</v>
      </c>
      <c r="F345">
        <v>15346935.022875801</v>
      </c>
      <c r="G345">
        <v>14.426494999999999</v>
      </c>
      <c r="H345">
        <v>14.4</v>
      </c>
    </row>
    <row r="346" spans="1:8" x14ac:dyDescent="0.25">
      <c r="A346">
        <v>2017</v>
      </c>
      <c r="B346" t="s">
        <v>14</v>
      </c>
      <c r="C346">
        <v>36.200000000000003</v>
      </c>
      <c r="D346">
        <v>286.78263186785102</v>
      </c>
      <c r="E346">
        <v>484.60988227278</v>
      </c>
      <c r="F346">
        <v>15346935.022875801</v>
      </c>
      <c r="G346">
        <v>10.789814</v>
      </c>
      <c r="H346">
        <v>17.829999999999998</v>
      </c>
    </row>
    <row r="347" spans="1:8" x14ac:dyDescent="0.25">
      <c r="A347">
        <v>2017</v>
      </c>
      <c r="B347" t="s">
        <v>25</v>
      </c>
      <c r="C347">
        <v>20.2</v>
      </c>
      <c r="D347">
        <v>286.78263186785102</v>
      </c>
      <c r="E347">
        <v>484.60988227278</v>
      </c>
      <c r="F347">
        <v>15346935.022875801</v>
      </c>
      <c r="G347">
        <v>1.9744771999999999</v>
      </c>
      <c r="H347">
        <v>1.95</v>
      </c>
    </row>
    <row r="348" spans="1:8" x14ac:dyDescent="0.25">
      <c r="A348">
        <v>2017</v>
      </c>
      <c r="B348" t="s">
        <v>28</v>
      </c>
      <c r="C348">
        <v>27.3</v>
      </c>
      <c r="D348">
        <v>286.78263186785102</v>
      </c>
      <c r="E348">
        <v>484.60988227278</v>
      </c>
      <c r="F348">
        <v>15346935.022875801</v>
      </c>
      <c r="G348">
        <v>5.0167327000000004</v>
      </c>
      <c r="H348">
        <v>5.01</v>
      </c>
    </row>
    <row r="349" spans="1:8" x14ac:dyDescent="0.25">
      <c r="A349">
        <v>2017</v>
      </c>
      <c r="B349" t="s">
        <v>29</v>
      </c>
      <c r="C349">
        <v>28.5</v>
      </c>
      <c r="D349">
        <v>286.78263186785102</v>
      </c>
      <c r="E349">
        <v>484.60988227278</v>
      </c>
      <c r="F349">
        <v>15346935.022875801</v>
      </c>
      <c r="G349">
        <v>8.6169899999999995</v>
      </c>
      <c r="H349">
        <v>8.6999999999999993</v>
      </c>
    </row>
    <row r="350" spans="1:8" x14ac:dyDescent="0.25">
      <c r="A350">
        <v>2017</v>
      </c>
      <c r="B350" t="s">
        <v>30</v>
      </c>
      <c r="C350">
        <v>26.2</v>
      </c>
      <c r="D350">
        <v>286.78263186785102</v>
      </c>
      <c r="E350">
        <v>484.60988227278</v>
      </c>
      <c r="F350">
        <v>15346935.022875801</v>
      </c>
      <c r="G350">
        <v>10.958046</v>
      </c>
      <c r="H350">
        <v>10.92</v>
      </c>
    </row>
    <row r="351" spans="1:8" x14ac:dyDescent="0.25">
      <c r="A351">
        <v>2017</v>
      </c>
      <c r="B351" t="s">
        <v>31</v>
      </c>
      <c r="C351">
        <v>23.7</v>
      </c>
      <c r="D351">
        <v>286.78263186785102</v>
      </c>
      <c r="E351">
        <v>484.60988227278</v>
      </c>
      <c r="F351">
        <v>15346935.022875801</v>
      </c>
      <c r="G351">
        <v>11.145265999999999</v>
      </c>
      <c r="H351">
        <v>11.17</v>
      </c>
    </row>
    <row r="352" spans="1:8" x14ac:dyDescent="0.25">
      <c r="A352">
        <v>2017</v>
      </c>
      <c r="B352" t="s">
        <v>32</v>
      </c>
      <c r="C352">
        <v>24.3</v>
      </c>
      <c r="D352">
        <v>286.78263186785102</v>
      </c>
      <c r="E352">
        <v>484.60988227278</v>
      </c>
      <c r="F352">
        <v>15346935.022875801</v>
      </c>
      <c r="G352">
        <v>11.192518</v>
      </c>
      <c r="H352">
        <v>10.98</v>
      </c>
    </row>
    <row r="353" spans="1:8" x14ac:dyDescent="0.25">
      <c r="A353">
        <v>2017</v>
      </c>
      <c r="B353" t="s">
        <v>33</v>
      </c>
      <c r="C353">
        <v>21.6</v>
      </c>
      <c r="D353">
        <v>286.78263186785102</v>
      </c>
      <c r="E353">
        <v>484.60988227278</v>
      </c>
      <c r="F353">
        <v>15346935.022875801</v>
      </c>
      <c r="G353">
        <v>4.2261160000000002</v>
      </c>
      <c r="H353">
        <v>4.22</v>
      </c>
    </row>
    <row r="354" spans="1:8" x14ac:dyDescent="0.25">
      <c r="A354">
        <v>2017</v>
      </c>
      <c r="B354" t="s">
        <v>34</v>
      </c>
      <c r="C354">
        <v>22</v>
      </c>
      <c r="D354">
        <v>286.78263186785102</v>
      </c>
      <c r="E354">
        <v>484.60988227278</v>
      </c>
      <c r="F354">
        <v>15346935.022875801</v>
      </c>
      <c r="G354">
        <v>6.4767419999999998</v>
      </c>
      <c r="H354">
        <v>6.49</v>
      </c>
    </row>
    <row r="355" spans="1:8" x14ac:dyDescent="0.25">
      <c r="A355">
        <v>2017</v>
      </c>
      <c r="B355" t="s">
        <v>44</v>
      </c>
      <c r="C355">
        <v>25.9</v>
      </c>
      <c r="D355">
        <v>286.78263186785102</v>
      </c>
      <c r="E355">
        <v>484.60988227278</v>
      </c>
      <c r="F355">
        <v>15346935.022875801</v>
      </c>
      <c r="G355">
        <v>14.1513405</v>
      </c>
      <c r="H355">
        <v>14.21</v>
      </c>
    </row>
    <row r="356" spans="1:8" x14ac:dyDescent="0.25">
      <c r="A356">
        <v>2017</v>
      </c>
      <c r="B356" t="s">
        <v>36</v>
      </c>
      <c r="C356">
        <v>27</v>
      </c>
      <c r="D356">
        <v>286.78263186785102</v>
      </c>
      <c r="E356">
        <v>484.60988227278</v>
      </c>
      <c r="F356">
        <v>15346935.022875801</v>
      </c>
      <c r="G356">
        <v>14.377050000000001</v>
      </c>
      <c r="H356">
        <v>14.45</v>
      </c>
    </row>
    <row r="357" spans="1:8" x14ac:dyDescent="0.25">
      <c r="A357">
        <v>2017</v>
      </c>
      <c r="B357" t="s">
        <v>37</v>
      </c>
      <c r="C357">
        <v>26.1</v>
      </c>
      <c r="D357">
        <v>286.78263186785102</v>
      </c>
      <c r="E357">
        <v>484.60988227278</v>
      </c>
      <c r="F357">
        <v>15346935.022875801</v>
      </c>
      <c r="G357">
        <v>13.865193</v>
      </c>
      <c r="H357">
        <v>14.08</v>
      </c>
    </row>
    <row r="358" spans="1:8" x14ac:dyDescent="0.25">
      <c r="A358">
        <v>2017</v>
      </c>
      <c r="B358" t="s">
        <v>38</v>
      </c>
      <c r="C358">
        <v>24.8</v>
      </c>
      <c r="D358">
        <v>286.78263186785102</v>
      </c>
      <c r="E358">
        <v>484.60988227278</v>
      </c>
      <c r="F358">
        <v>15346935.022875801</v>
      </c>
      <c r="G358">
        <v>12.832138</v>
      </c>
      <c r="H358">
        <v>12.89</v>
      </c>
    </row>
    <row r="359" spans="1:8" x14ac:dyDescent="0.25">
      <c r="A359">
        <v>2017</v>
      </c>
      <c r="B359" t="s">
        <v>39</v>
      </c>
      <c r="C359">
        <v>24.4</v>
      </c>
      <c r="D359">
        <v>286.78263186785102</v>
      </c>
      <c r="E359">
        <v>484.60988227278</v>
      </c>
      <c r="F359">
        <v>15346935.022875801</v>
      </c>
      <c r="G359">
        <v>11.387790000000001</v>
      </c>
      <c r="H359">
        <v>12.91</v>
      </c>
    </row>
    <row r="360" spans="1:8" x14ac:dyDescent="0.25">
      <c r="A360">
        <v>2017</v>
      </c>
      <c r="B360" t="s">
        <v>40</v>
      </c>
      <c r="C360">
        <v>25.1</v>
      </c>
      <c r="D360">
        <v>286.78263186785102</v>
      </c>
      <c r="E360">
        <v>484.60988227278</v>
      </c>
      <c r="F360">
        <v>15346935.022875801</v>
      </c>
      <c r="G360">
        <v>10.768079</v>
      </c>
      <c r="H360">
        <v>10.79</v>
      </c>
    </row>
    <row r="361" spans="1:8" x14ac:dyDescent="0.25">
      <c r="A361">
        <v>2017</v>
      </c>
      <c r="B361" t="s">
        <v>41</v>
      </c>
      <c r="C361">
        <v>26.1</v>
      </c>
      <c r="D361">
        <v>286.78263186785102</v>
      </c>
      <c r="E361">
        <v>484.60988227278</v>
      </c>
      <c r="F361">
        <v>15346935.022875801</v>
      </c>
      <c r="G361">
        <v>12.805128</v>
      </c>
      <c r="H361">
        <v>12.79</v>
      </c>
    </row>
    <row r="362" spans="1:8" x14ac:dyDescent="0.25">
      <c r="A362">
        <v>2017</v>
      </c>
      <c r="B362" t="s">
        <v>42</v>
      </c>
      <c r="C362">
        <v>23.3</v>
      </c>
      <c r="D362">
        <v>286.78263186785102</v>
      </c>
      <c r="E362">
        <v>484.60988227278</v>
      </c>
      <c r="F362">
        <v>15346935.022875801</v>
      </c>
      <c r="G362">
        <v>7.0821310000000004</v>
      </c>
      <c r="H362">
        <v>7.2</v>
      </c>
    </row>
  </sheetData>
  <autoFilter ref="A1:H362" xr:uid="{1EDFF460-142C-4F8A-AB8C-785175EE94E9}">
    <sortState xmlns:xlrd2="http://schemas.microsoft.com/office/spreadsheetml/2017/richdata2" ref="A2:H20">
      <sortCondition descending="1" ref="C1:C36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C85C-3D90-4C5F-AB4D-4D2CC08D5B57}">
  <dimension ref="A1:K32"/>
  <sheetViews>
    <sheetView showGridLines="0" workbookViewId="0">
      <selection activeCell="E1" sqref="E1:F11"/>
    </sheetView>
  </sheetViews>
  <sheetFormatPr defaultRowHeight="15" x14ac:dyDescent="0.25"/>
  <cols>
    <col min="1" max="1" width="28.140625" customWidth="1"/>
    <col min="2" max="2" width="17" bestFit="1" customWidth="1"/>
    <col min="3" max="3" width="23.42578125" bestFit="1" customWidth="1"/>
    <col min="5" max="5" width="22.7109375" bestFit="1" customWidth="1"/>
    <col min="6" max="6" width="16.42578125" customWidth="1"/>
    <col min="8" max="8" width="17.85546875" customWidth="1"/>
    <col min="9" max="9" width="16.42578125" bestFit="1" customWidth="1"/>
    <col min="10" max="10" width="19.28515625" bestFit="1" customWidth="1"/>
    <col min="11" max="11" width="19.85546875" bestFit="1" customWidth="1"/>
  </cols>
  <sheetData>
    <row r="1" spans="1:11" ht="16.5" x14ac:dyDescent="0.25">
      <c r="A1" s="8" t="s">
        <v>45</v>
      </c>
      <c r="B1" s="11" t="s">
        <v>46</v>
      </c>
      <c r="C1" s="8" t="s">
        <v>47</v>
      </c>
      <c r="E1" s="8" t="s">
        <v>48</v>
      </c>
      <c r="F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</row>
    <row r="2" spans="1:11" x14ac:dyDescent="0.25">
      <c r="A2" s="7" t="s">
        <v>54</v>
      </c>
      <c r="B2" s="6">
        <v>0.6</v>
      </c>
      <c r="C2" s="5">
        <v>3.06</v>
      </c>
      <c r="E2" s="3" t="s">
        <v>55</v>
      </c>
      <c r="F2" s="9">
        <v>0.16530900000000001</v>
      </c>
      <c r="H2" s="1">
        <v>8.9968975069252064</v>
      </c>
      <c r="I2">
        <v>23.13</v>
      </c>
      <c r="J2" s="1">
        <v>8.98976740709141</v>
      </c>
      <c r="K2" t="e">
        <f>ROUNDDOWN(Avg_Actual_Yield,1)</f>
        <v>#REF!</v>
      </c>
    </row>
    <row r="3" spans="1:11" x14ac:dyDescent="0.25">
      <c r="A3" s="4" t="s">
        <v>56</v>
      </c>
      <c r="B3" s="3">
        <v>0.68</v>
      </c>
      <c r="C3" s="2">
        <v>2.73</v>
      </c>
      <c r="E3" s="6" t="s">
        <v>57</v>
      </c>
      <c r="F3" s="10">
        <v>0.186803</v>
      </c>
    </row>
    <row r="4" spans="1:11" x14ac:dyDescent="0.25">
      <c r="A4" s="7" t="s">
        <v>58</v>
      </c>
      <c r="B4" s="6">
        <v>0.78</v>
      </c>
      <c r="C4" s="5">
        <v>2.27</v>
      </c>
      <c r="E4" s="3" t="s">
        <v>59</v>
      </c>
      <c r="F4" s="9">
        <v>0.22351599999999999</v>
      </c>
    </row>
    <row r="5" spans="1:11" x14ac:dyDescent="0.25">
      <c r="A5" s="4" t="s">
        <v>60</v>
      </c>
      <c r="B5" s="3">
        <v>0.84</v>
      </c>
      <c r="C5" s="2">
        <v>1.94</v>
      </c>
      <c r="E5" s="6" t="s">
        <v>61</v>
      </c>
      <c r="F5" s="10">
        <v>0.28776000000000002</v>
      </c>
    </row>
    <row r="6" spans="1:11" x14ac:dyDescent="0.25">
      <c r="E6" s="3" t="s">
        <v>5</v>
      </c>
      <c r="F6" s="9">
        <v>0.35055500000000001</v>
      </c>
    </row>
    <row r="7" spans="1:11" x14ac:dyDescent="0.25">
      <c r="E7" s="6" t="s">
        <v>62</v>
      </c>
      <c r="F7" s="10">
        <v>0.38641900000000001</v>
      </c>
    </row>
    <row r="8" spans="1:11" x14ac:dyDescent="0.25">
      <c r="A8" s="8" t="s">
        <v>48</v>
      </c>
      <c r="B8" s="8" t="s">
        <v>63</v>
      </c>
      <c r="E8" s="3" t="s">
        <v>64</v>
      </c>
      <c r="F8" s="9">
        <v>0.45161299999999999</v>
      </c>
    </row>
    <row r="9" spans="1:11" x14ac:dyDescent="0.25">
      <c r="A9" s="7" t="s">
        <v>65</v>
      </c>
      <c r="B9" s="6">
        <v>-2.81</v>
      </c>
      <c r="E9" s="6" t="s">
        <v>3</v>
      </c>
      <c r="F9" s="10">
        <v>0.45391599999999999</v>
      </c>
    </row>
    <row r="10" spans="1:11" x14ac:dyDescent="0.25">
      <c r="A10" s="4" t="s">
        <v>66</v>
      </c>
      <c r="B10" s="3">
        <v>-1.1399999999999999</v>
      </c>
      <c r="E10" s="3" t="s">
        <v>4</v>
      </c>
      <c r="F10" s="9">
        <v>0.72661500000000001</v>
      </c>
    </row>
    <row r="11" spans="1:11" x14ac:dyDescent="0.25">
      <c r="A11" s="7" t="s">
        <v>67</v>
      </c>
      <c r="B11" s="6">
        <v>2.42</v>
      </c>
      <c r="E11" s="6" t="s">
        <v>2</v>
      </c>
      <c r="F11" s="10">
        <v>1.7113929999999999</v>
      </c>
    </row>
    <row r="12" spans="1:11" x14ac:dyDescent="0.25">
      <c r="A12" s="4" t="s">
        <v>68</v>
      </c>
      <c r="B12" s="3">
        <v>3.83</v>
      </c>
    </row>
    <row r="13" spans="1:11" x14ac:dyDescent="0.25">
      <c r="A13" s="7" t="s">
        <v>69</v>
      </c>
      <c r="B13" s="6">
        <v>4.16</v>
      </c>
    </row>
    <row r="14" spans="1:11" x14ac:dyDescent="0.25">
      <c r="A14" s="4" t="s">
        <v>70</v>
      </c>
      <c r="B14" s="3">
        <v>4.18</v>
      </c>
    </row>
    <row r="15" spans="1:11" x14ac:dyDescent="0.25">
      <c r="E15" s="8" t="s">
        <v>71</v>
      </c>
      <c r="F15" s="8" t="s">
        <v>72</v>
      </c>
    </row>
    <row r="16" spans="1:11" x14ac:dyDescent="0.25">
      <c r="E16" s="3" t="s">
        <v>32</v>
      </c>
      <c r="F16" s="9">
        <v>144.16999999999999</v>
      </c>
    </row>
    <row r="17" spans="1:6" x14ac:dyDescent="0.25">
      <c r="A17" s="8" t="s">
        <v>48</v>
      </c>
      <c r="B17" s="8" t="s">
        <v>63</v>
      </c>
      <c r="E17" s="6" t="s">
        <v>38</v>
      </c>
      <c r="F17" s="10">
        <v>145.64000000000004</v>
      </c>
    </row>
    <row r="18" spans="1:6" x14ac:dyDescent="0.25">
      <c r="A18" s="7" t="s">
        <v>73</v>
      </c>
      <c r="B18" s="6">
        <v>-4.1900000000000004</v>
      </c>
      <c r="E18" s="3" t="s">
        <v>39</v>
      </c>
      <c r="F18" s="9">
        <v>146.10000000000002</v>
      </c>
    </row>
    <row r="19" spans="1:6" x14ac:dyDescent="0.25">
      <c r="A19" s="7" t="s">
        <v>74</v>
      </c>
      <c r="B19" s="6">
        <v>-2.92</v>
      </c>
      <c r="E19" s="6" t="s">
        <v>31</v>
      </c>
      <c r="F19" s="10">
        <v>147.05999999999997</v>
      </c>
    </row>
    <row r="20" spans="1:6" x14ac:dyDescent="0.25">
      <c r="A20" s="4" t="s">
        <v>65</v>
      </c>
      <c r="B20" s="3">
        <v>-2.78</v>
      </c>
      <c r="E20" s="3" t="s">
        <v>41</v>
      </c>
      <c r="F20" s="9">
        <v>151.94999999999999</v>
      </c>
    </row>
    <row r="21" spans="1:6" x14ac:dyDescent="0.25">
      <c r="A21" s="7" t="s">
        <v>67</v>
      </c>
      <c r="B21" s="6">
        <v>2.52</v>
      </c>
      <c r="E21" s="6" t="s">
        <v>36</v>
      </c>
      <c r="F21" s="10">
        <v>152.94999999999999</v>
      </c>
    </row>
    <row r="22" spans="1:6" x14ac:dyDescent="0.25">
      <c r="A22" s="4" t="s">
        <v>68</v>
      </c>
      <c r="B22" s="3">
        <v>3.96</v>
      </c>
      <c r="E22" s="3" t="s">
        <v>43</v>
      </c>
      <c r="F22" s="9">
        <v>159.85000000000005</v>
      </c>
    </row>
    <row r="23" spans="1:6" x14ac:dyDescent="0.25">
      <c r="A23" s="7" t="s">
        <v>69</v>
      </c>
      <c r="B23" s="6">
        <v>4.2</v>
      </c>
      <c r="E23" s="6" t="s">
        <v>37</v>
      </c>
      <c r="F23" s="10">
        <v>161.63</v>
      </c>
    </row>
    <row r="24" spans="1:6" x14ac:dyDescent="0.25">
      <c r="E24" s="3" t="s">
        <v>27</v>
      </c>
      <c r="F24" s="9">
        <v>192.25</v>
      </c>
    </row>
    <row r="25" spans="1:6" x14ac:dyDescent="0.25">
      <c r="E25" s="6" t="s">
        <v>14</v>
      </c>
      <c r="F25" s="10">
        <v>237.75</v>
      </c>
    </row>
    <row r="26" spans="1:6" x14ac:dyDescent="0.25">
      <c r="A26" s="8" t="s">
        <v>48</v>
      </c>
      <c r="B26" s="8" t="s">
        <v>63</v>
      </c>
    </row>
    <row r="27" spans="1:6" x14ac:dyDescent="0.25">
      <c r="A27" s="7" t="s">
        <v>66</v>
      </c>
      <c r="B27" s="6">
        <v>-1.18</v>
      </c>
    </row>
    <row r="28" spans="1:6" x14ac:dyDescent="0.25">
      <c r="A28" s="4" t="s">
        <v>67</v>
      </c>
      <c r="B28" s="3">
        <v>2.71</v>
      </c>
    </row>
    <row r="29" spans="1:6" x14ac:dyDescent="0.25">
      <c r="A29" s="7" t="s">
        <v>68</v>
      </c>
      <c r="B29" s="6">
        <v>4.0199999999999996</v>
      </c>
    </row>
    <row r="30" spans="1:6" x14ac:dyDescent="0.25">
      <c r="A30" s="4" t="s">
        <v>75</v>
      </c>
      <c r="B30" s="3">
        <v>4.3600000000000003</v>
      </c>
    </row>
    <row r="31" spans="1:6" x14ac:dyDescent="0.25">
      <c r="A31" s="7" t="s">
        <v>69</v>
      </c>
      <c r="B31" s="6">
        <v>4.3899999999999997</v>
      </c>
    </row>
    <row r="32" spans="1:6" x14ac:dyDescent="0.25">
      <c r="A32" s="7" t="s">
        <v>70</v>
      </c>
      <c r="B32" s="6">
        <v>4.47</v>
      </c>
    </row>
  </sheetData>
  <autoFilter ref="A26:B32" xr:uid="{DE01C85C-3D90-4C5F-AB4D-4D2CC08D5B57}">
    <sortState xmlns:xlrd2="http://schemas.microsoft.com/office/spreadsheetml/2017/richdata2" ref="A27:B32">
      <sortCondition ref="B26:B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9DE2-0A9E-443B-80D7-CBA5B8A7D40D}">
  <dimension ref="A1"/>
  <sheetViews>
    <sheetView showGridLines="0" tabSelected="1" workbookViewId="0">
      <selection activeCell="Z16" sqref="Z16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DB86E901C048468978C9B26FCDA899" ma:contentTypeVersion="13" ma:contentTypeDescription="Create a new document." ma:contentTypeScope="" ma:versionID="c00cb3177b7f295bda747254b1f1e09f">
  <xsd:schema xmlns:xsd="http://www.w3.org/2001/XMLSchema" xmlns:xs="http://www.w3.org/2001/XMLSchema" xmlns:p="http://schemas.microsoft.com/office/2006/metadata/properties" xmlns:ns3="faeb4550-d828-47f0-af86-5e5be70fe1a9" targetNamespace="http://schemas.microsoft.com/office/2006/metadata/properties" ma:root="true" ma:fieldsID="82463d90b429e31ce99b7b9406996a38" ns3:_="">
    <xsd:import namespace="faeb4550-d828-47f0-af86-5e5be70fe1a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b4550-d828-47f0-af86-5e5be70fe1a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eb4550-d828-47f0-af86-5e5be70fe1a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35CB0E-7627-4703-A995-2A3DA9264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b4550-d828-47f0-af86-5e5be70fe1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F1ABCE-3435-48AB-AA1A-731E5BB6A3FF}">
  <ds:schemaRefs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faeb4550-d828-47f0-af86-5e5be70fe1a9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13D2E8-0BAD-4287-AF34-8132F89BE7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final_dataset_with_predictions</vt:lpstr>
      <vt:lpstr>model_data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</dc:creator>
  <cp:keywords/>
  <dc:description/>
  <cp:lastModifiedBy>Kayode Ezekiel Akeredolu</cp:lastModifiedBy>
  <cp:revision/>
  <dcterms:created xsi:type="dcterms:W3CDTF">2026-05-03T00:02:14Z</dcterms:created>
  <dcterms:modified xsi:type="dcterms:W3CDTF">2026-05-11T13:02:49Z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0x01010032DB86E901C048468978C9B26FCDA899</vt:lpwstr>
  </property>
</Properties>
</file>